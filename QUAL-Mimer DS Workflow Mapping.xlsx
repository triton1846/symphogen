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C:\Users\csk\AppData\Local\VaultFileManagerFiles\Files\Documents\"/>
    </mc:Choice>
  </mc:AlternateContent>
  <xr:revisionPtr revIDLastSave="0" documentId="13_ncr:1_{C888AEFA-8502-4078-9286-32889C52DD16}" xr6:coauthVersionLast="47" xr6:coauthVersionMax="47" xr10:uidLastSave="{00000000-0000-0000-0000-000000000000}"/>
  <bookViews>
    <workbookView xWindow="-96" yWindow="-96" windowWidth="23232" windowHeight="12432" xr2:uid="{44588268-E947-48FD-A7CB-A79F9F7BF366}"/>
  </bookViews>
  <sheets>
    <sheet name="Workflows" sheetId="1" r:id="rId1"/>
    <sheet name="Definition" sheetId="5" r:id="rId2"/>
  </sheets>
  <definedNames>
    <definedName name="_xlnm._FilterDatabase" localSheetId="1" hidden="1">Definition!$A$1:$B$11</definedName>
    <definedName name="_xlnm._FilterDatabase" localSheetId="0" hidden="1">Workflows!$A$1:$T$42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0" i="1" l="1" a="1"/>
  <c r="L20" i="1" s="1"/>
  <c r="P20" i="1" s="1"/>
  <c r="Q20" i="1" s="1"/>
  <c r="M20" i="1" a="1"/>
  <c r="M20" i="1" s="1"/>
  <c r="N20" i="1" a="1"/>
  <c r="N20" i="1" s="1"/>
  <c r="O20" i="1" a="1"/>
  <c r="O20" i="1" s="1"/>
  <c r="S7" i="1"/>
  <c r="O7" i="1" a="1"/>
  <c r="O7" i="1" s="1"/>
  <c r="N7" i="1" a="1"/>
  <c r="N7" i="1" s="1"/>
  <c r="M7" i="1" a="1"/>
  <c r="M7" i="1" s="1"/>
  <c r="L7" i="1" a="1"/>
  <c r="L7" i="1" s="1"/>
  <c r="P7" i="1" s="1"/>
  <c r="Q7" i="1" s="1"/>
  <c r="L23" i="1" l="1" a="1"/>
  <c r="L23" i="1" s="1"/>
  <c r="P23" i="1" s="1"/>
  <c r="M23" i="1" a="1"/>
  <c r="M23" i="1" s="1"/>
  <c r="N23" i="1" a="1"/>
  <c r="N23" i="1" s="1"/>
  <c r="O23" i="1" a="1"/>
  <c r="O23" i="1" s="1"/>
  <c r="S23" i="1"/>
  <c r="S17" i="1"/>
  <c r="L17" i="1" a="1"/>
  <c r="L17" i="1" s="1"/>
  <c r="M17" i="1" a="1"/>
  <c r="M17" i="1" s="1"/>
  <c r="N17" i="1" a="1"/>
  <c r="N17" i="1" s="1"/>
  <c r="O17" i="1" a="1"/>
  <c r="O17" i="1" s="1"/>
  <c r="Q23" i="1" l="1"/>
  <c r="P17" i="1"/>
  <c r="Q17" i="1" s="1"/>
  <c r="S9" i="1"/>
  <c r="O9" i="1" a="1"/>
  <c r="O9" i="1" s="1"/>
  <c r="N9" i="1" a="1"/>
  <c r="N9" i="1" s="1"/>
  <c r="M9" i="1" a="1"/>
  <c r="M9" i="1" s="1"/>
  <c r="L9" i="1" a="1"/>
  <c r="L9" i="1" s="1"/>
  <c r="L8" i="1" a="1"/>
  <c r="L8" i="1" s="1"/>
  <c r="M8" i="1" a="1"/>
  <c r="M8" i="1" s="1"/>
  <c r="N8" i="1" a="1"/>
  <c r="N8" i="1" s="1"/>
  <c r="O8" i="1" a="1"/>
  <c r="O8" i="1" s="1"/>
  <c r="S8" i="1"/>
  <c r="P9" i="1" l="1"/>
  <c r="Q9" i="1" s="1"/>
  <c r="P8" i="1"/>
  <c r="Q8" i="1" s="1"/>
  <c r="L2" i="1" a="1"/>
  <c r="L2" i="1" s="1"/>
  <c r="L4" i="1" a="1"/>
  <c r="L4" i="1" s="1"/>
  <c r="L13" i="1" a="1"/>
  <c r="L13" i="1" s="1"/>
  <c r="L5" i="1" a="1"/>
  <c r="L5" i="1" s="1"/>
  <c r="L24" i="1" a="1"/>
  <c r="L24" i="1" s="1"/>
  <c r="L18" i="1" a="1"/>
  <c r="L18" i="1" s="1"/>
  <c r="L22" i="1" a="1"/>
  <c r="L22" i="1" s="1"/>
  <c r="L6" i="1" a="1"/>
  <c r="L6" i="1" s="1"/>
  <c r="L3" i="1" a="1"/>
  <c r="L3" i="1" s="1"/>
  <c r="L12" i="1" a="1"/>
  <c r="L12" i="1" s="1"/>
  <c r="L15" i="1" a="1"/>
  <c r="L15" i="1" s="1"/>
  <c r="L14" i="1" a="1"/>
  <c r="L14" i="1" s="1"/>
  <c r="L21" i="1" a="1"/>
  <c r="L21" i="1" s="1"/>
  <c r="L19" i="1" a="1"/>
  <c r="L19" i="1" s="1"/>
  <c r="L16" i="1" a="1"/>
  <c r="L16" i="1" s="1"/>
  <c r="L10" i="1" a="1"/>
  <c r="L10" i="1" s="1"/>
  <c r="L25" i="1" a="1"/>
  <c r="L25" i="1" s="1"/>
  <c r="L26" i="1" a="1"/>
  <c r="L26" i="1" s="1"/>
  <c r="L27" i="1" a="1"/>
  <c r="L27" i="1" s="1"/>
  <c r="P27" i="1" s="1"/>
  <c r="Q27" i="1" s="1"/>
  <c r="L28" i="1" a="1"/>
  <c r="L28" i="1" s="1"/>
  <c r="P28" i="1" s="1"/>
  <c r="Q28" i="1" s="1"/>
  <c r="L29" i="1" a="1"/>
  <c r="L29" i="1" s="1"/>
  <c r="P29" i="1" s="1"/>
  <c r="Q29" i="1" s="1"/>
  <c r="L30" i="1" a="1"/>
  <c r="L30" i="1" s="1"/>
  <c r="P30" i="1" s="1"/>
  <c r="Q30" i="1" s="1"/>
  <c r="L31" i="1" a="1"/>
  <c r="L31" i="1" s="1"/>
  <c r="P31" i="1" s="1"/>
  <c r="Q31" i="1" s="1"/>
  <c r="L32" i="1" a="1"/>
  <c r="L32" i="1" s="1"/>
  <c r="P32" i="1" s="1"/>
  <c r="Q32" i="1" s="1"/>
  <c r="L33" i="1" a="1"/>
  <c r="L33" i="1" s="1"/>
  <c r="P33" i="1" s="1"/>
  <c r="Q33" i="1" s="1"/>
  <c r="L34" i="1" a="1"/>
  <c r="L34" i="1" s="1"/>
  <c r="P34" i="1" s="1"/>
  <c r="Q34" i="1" s="1"/>
  <c r="L35" i="1" a="1"/>
  <c r="L35" i="1" s="1"/>
  <c r="P35" i="1" s="1"/>
  <c r="Q35" i="1" s="1"/>
  <c r="L36" i="1" a="1"/>
  <c r="L36" i="1" s="1"/>
  <c r="P36" i="1" s="1"/>
  <c r="Q36" i="1" s="1"/>
  <c r="L37" i="1" a="1"/>
  <c r="L37" i="1" s="1"/>
  <c r="P37" i="1" s="1"/>
  <c r="Q37" i="1" s="1"/>
  <c r="L38" i="1" a="1"/>
  <c r="L38" i="1" s="1"/>
  <c r="P38" i="1" s="1"/>
  <c r="Q38" i="1" s="1"/>
  <c r="L39" i="1" a="1"/>
  <c r="L39" i="1" s="1"/>
  <c r="P39" i="1" s="1"/>
  <c r="Q39" i="1" s="1"/>
  <c r="L40" i="1" a="1"/>
  <c r="L40" i="1" s="1"/>
  <c r="P40" i="1" s="1"/>
  <c r="Q40" i="1" s="1"/>
  <c r="L41" i="1" a="1"/>
  <c r="L41" i="1" s="1"/>
  <c r="P41" i="1" s="1"/>
  <c r="Q41" i="1" s="1"/>
  <c r="L42" i="1" a="1"/>
  <c r="L42" i="1" s="1"/>
  <c r="P42" i="1" s="1"/>
  <c r="Q42" i="1" s="1"/>
  <c r="L11" i="1" a="1"/>
  <c r="L11" i="1" s="1"/>
  <c r="O11" i="1" a="1"/>
  <c r="O11" i="1" s="1"/>
  <c r="N2" i="1" a="1"/>
  <c r="N2" i="1" s="1"/>
  <c r="N4" i="1" a="1"/>
  <c r="N4" i="1" s="1"/>
  <c r="N13" i="1" a="1"/>
  <c r="N13" i="1" s="1"/>
  <c r="N5" i="1" a="1"/>
  <c r="N5" i="1" s="1"/>
  <c r="N24" i="1" a="1"/>
  <c r="N24" i="1" s="1"/>
  <c r="N18" i="1" a="1"/>
  <c r="N18" i="1" s="1"/>
  <c r="N22" i="1" a="1"/>
  <c r="N22" i="1" s="1"/>
  <c r="N6" i="1" a="1"/>
  <c r="N6" i="1" s="1"/>
  <c r="N3" i="1" a="1"/>
  <c r="N3" i="1" s="1"/>
  <c r="N12" i="1" a="1"/>
  <c r="N12" i="1" s="1"/>
  <c r="N15" i="1" a="1"/>
  <c r="N15" i="1" s="1"/>
  <c r="N14" i="1" a="1"/>
  <c r="N14" i="1" s="1"/>
  <c r="N21" i="1" a="1"/>
  <c r="N21" i="1" s="1"/>
  <c r="N19" i="1" a="1"/>
  <c r="N19" i="1" s="1"/>
  <c r="N16" i="1" a="1"/>
  <c r="N16" i="1" s="1"/>
  <c r="N10" i="1" a="1"/>
  <c r="N10" i="1" s="1"/>
  <c r="N25" i="1" a="1"/>
  <c r="N25" i="1" s="1"/>
  <c r="N26" i="1" a="1"/>
  <c r="N26" i="1" s="1"/>
  <c r="N27" i="1" a="1"/>
  <c r="N27" i="1" s="1"/>
  <c r="N28" i="1" a="1"/>
  <c r="N28" i="1" s="1"/>
  <c r="N29" i="1" a="1"/>
  <c r="N29" i="1" s="1"/>
  <c r="N30" i="1" a="1"/>
  <c r="N30" i="1" s="1"/>
  <c r="N31" i="1" a="1"/>
  <c r="N31" i="1" s="1"/>
  <c r="N32" i="1" a="1"/>
  <c r="N32" i="1" s="1"/>
  <c r="N33" i="1" a="1"/>
  <c r="N33" i="1" s="1"/>
  <c r="N34" i="1" a="1"/>
  <c r="N34" i="1" s="1"/>
  <c r="N35" i="1" a="1"/>
  <c r="N35" i="1" s="1"/>
  <c r="N36" i="1" a="1"/>
  <c r="N36" i="1" s="1"/>
  <c r="N37" i="1" a="1"/>
  <c r="N37" i="1" s="1"/>
  <c r="N38" i="1" a="1"/>
  <c r="N38" i="1" s="1"/>
  <c r="N39" i="1" a="1"/>
  <c r="N39" i="1" s="1"/>
  <c r="N40" i="1" a="1"/>
  <c r="N40" i="1" s="1"/>
  <c r="N41" i="1" a="1"/>
  <c r="N41" i="1" s="1"/>
  <c r="N42" i="1" a="1"/>
  <c r="N42" i="1" s="1"/>
  <c r="N11" i="1" a="1"/>
  <c r="N11" i="1" s="1"/>
  <c r="M2" i="1" a="1"/>
  <c r="M2" i="1" s="1"/>
  <c r="M4" i="1" a="1"/>
  <c r="M4" i="1" s="1"/>
  <c r="M13" i="1" a="1"/>
  <c r="M13" i="1" s="1"/>
  <c r="M5" i="1" a="1"/>
  <c r="M5" i="1" s="1"/>
  <c r="M24" i="1" a="1"/>
  <c r="M24" i="1" s="1"/>
  <c r="M18" i="1" a="1"/>
  <c r="M18" i="1" s="1"/>
  <c r="M22" i="1" a="1"/>
  <c r="M22" i="1" s="1"/>
  <c r="M6" i="1" a="1"/>
  <c r="M6" i="1" s="1"/>
  <c r="M3" i="1" a="1"/>
  <c r="M3" i="1" s="1"/>
  <c r="M12" i="1" a="1"/>
  <c r="M12" i="1" s="1"/>
  <c r="M15" i="1" a="1"/>
  <c r="M15" i="1" s="1"/>
  <c r="M14" i="1" a="1"/>
  <c r="M14" i="1" s="1"/>
  <c r="M21" i="1" a="1"/>
  <c r="M21" i="1" s="1"/>
  <c r="M19" i="1" a="1"/>
  <c r="M19" i="1" s="1"/>
  <c r="M16" i="1" a="1"/>
  <c r="M16" i="1" s="1"/>
  <c r="M10" i="1" a="1"/>
  <c r="M10" i="1" s="1"/>
  <c r="M25" i="1" a="1"/>
  <c r="M25" i="1" s="1"/>
  <c r="M26" i="1" a="1"/>
  <c r="M26" i="1" s="1"/>
  <c r="M27" i="1" a="1"/>
  <c r="M27" i="1" s="1"/>
  <c r="M28" i="1" a="1"/>
  <c r="M28" i="1" s="1"/>
  <c r="M29" i="1" a="1"/>
  <c r="M29" i="1" s="1"/>
  <c r="M30" i="1" a="1"/>
  <c r="M30" i="1" s="1"/>
  <c r="M31" i="1" a="1"/>
  <c r="M31" i="1" s="1"/>
  <c r="M32" i="1" a="1"/>
  <c r="M32" i="1" s="1"/>
  <c r="M33" i="1" a="1"/>
  <c r="M33" i="1" s="1"/>
  <c r="M34" i="1" a="1"/>
  <c r="M34" i="1" s="1"/>
  <c r="M35" i="1" a="1"/>
  <c r="M35" i="1" s="1"/>
  <c r="M36" i="1" a="1"/>
  <c r="M36" i="1" s="1"/>
  <c r="M37" i="1" a="1"/>
  <c r="M37" i="1" s="1"/>
  <c r="M38" i="1" a="1"/>
  <c r="M38" i="1" s="1"/>
  <c r="M39" i="1" a="1"/>
  <c r="M39" i="1" s="1"/>
  <c r="M40" i="1" a="1"/>
  <c r="M40" i="1" s="1"/>
  <c r="M41" i="1" a="1"/>
  <c r="M41" i="1" s="1"/>
  <c r="M42" i="1" a="1"/>
  <c r="M42" i="1" s="1"/>
  <c r="M11" i="1" a="1"/>
  <c r="M11" i="1" s="1"/>
  <c r="S4" i="1"/>
  <c r="S13" i="1"/>
  <c r="S5" i="1"/>
  <c r="S24" i="1"/>
  <c r="S18" i="1"/>
  <c r="S22" i="1"/>
  <c r="S6" i="1"/>
  <c r="S3" i="1"/>
  <c r="S12" i="1"/>
  <c r="S15" i="1"/>
  <c r="S14" i="1"/>
  <c r="S21" i="1"/>
  <c r="S19" i="1"/>
  <c r="S16" i="1"/>
  <c r="S10" i="1"/>
  <c r="S20" i="1"/>
  <c r="S25" i="1"/>
  <c r="S26" i="1"/>
  <c r="S27" i="1"/>
  <c r="S28" i="1"/>
  <c r="S29" i="1"/>
  <c r="S30" i="1"/>
  <c r="S31" i="1"/>
  <c r="S32" i="1"/>
  <c r="S33" i="1"/>
  <c r="S34" i="1"/>
  <c r="S35" i="1"/>
  <c r="S36" i="1"/>
  <c r="S37" i="1"/>
  <c r="S38" i="1"/>
  <c r="S39" i="1"/>
  <c r="S40" i="1"/>
  <c r="S41" i="1"/>
  <c r="S42" i="1"/>
  <c r="S11" i="1"/>
  <c r="O2" i="1" a="1"/>
  <c r="O2" i="1" s="1"/>
  <c r="O4" i="1" a="1"/>
  <c r="O4" i="1" s="1"/>
  <c r="O13" i="1" a="1"/>
  <c r="O13" i="1" s="1"/>
  <c r="O5" i="1" a="1"/>
  <c r="O5" i="1" s="1"/>
  <c r="O24" i="1" a="1"/>
  <c r="O24" i="1" s="1"/>
  <c r="O18" i="1" a="1"/>
  <c r="O18" i="1" s="1"/>
  <c r="O22" i="1" a="1"/>
  <c r="O22" i="1" s="1"/>
  <c r="O6" i="1" a="1"/>
  <c r="O6" i="1" s="1"/>
  <c r="O3" i="1" a="1"/>
  <c r="O3" i="1" s="1"/>
  <c r="O12" i="1" a="1"/>
  <c r="O12" i="1" s="1"/>
  <c r="O15" i="1" a="1"/>
  <c r="O15" i="1" s="1"/>
  <c r="O14" i="1" a="1"/>
  <c r="O14" i="1" s="1"/>
  <c r="O21" i="1" a="1"/>
  <c r="O21" i="1" s="1"/>
  <c r="O19" i="1" a="1"/>
  <c r="O19" i="1" s="1"/>
  <c r="O16" i="1" a="1"/>
  <c r="O16" i="1" s="1"/>
  <c r="O10" i="1" a="1"/>
  <c r="O10" i="1" s="1"/>
  <c r="O25" i="1" a="1"/>
  <c r="O25" i="1" s="1"/>
  <c r="O26" i="1" a="1"/>
  <c r="O26" i="1" s="1"/>
  <c r="O27" i="1" a="1"/>
  <c r="O27" i="1" s="1"/>
  <c r="O28" i="1" a="1"/>
  <c r="O28" i="1" s="1"/>
  <c r="O29" i="1" a="1"/>
  <c r="O29" i="1" s="1"/>
  <c r="O30" i="1" a="1"/>
  <c r="O30" i="1" s="1"/>
  <c r="O31" i="1" a="1"/>
  <c r="O31" i="1" s="1"/>
  <c r="O32" i="1" a="1"/>
  <c r="O32" i="1" s="1"/>
  <c r="O33" i="1" a="1"/>
  <c r="O33" i="1" s="1"/>
  <c r="O34" i="1" a="1"/>
  <c r="O34" i="1" s="1"/>
  <c r="O35" i="1" a="1"/>
  <c r="O35" i="1" s="1"/>
  <c r="O36" i="1" a="1"/>
  <c r="O36" i="1" s="1"/>
  <c r="O37" i="1" a="1"/>
  <c r="O37" i="1" s="1"/>
  <c r="O38" i="1" a="1"/>
  <c r="O38" i="1" s="1"/>
  <c r="O39" i="1" a="1"/>
  <c r="O39" i="1" s="1"/>
  <c r="O40" i="1" a="1"/>
  <c r="O40" i="1" s="1"/>
  <c r="O41" i="1" a="1"/>
  <c r="O41" i="1" s="1"/>
  <c r="O42" i="1" a="1"/>
  <c r="O42" i="1" s="1"/>
  <c r="P26" i="1" l="1"/>
  <c r="Q26" i="1"/>
  <c r="P25" i="1"/>
  <c r="Q25" i="1" s="1"/>
  <c r="S2" i="1"/>
  <c r="P10" i="1"/>
  <c r="Q10" i="1" s="1"/>
  <c r="P19" i="1"/>
  <c r="Q19" i="1" s="1"/>
  <c r="P16" i="1"/>
  <c r="Q16" i="1" s="1"/>
  <c r="P21" i="1"/>
  <c r="Q21" i="1" s="1"/>
  <c r="P14" i="1"/>
  <c r="Q14" i="1" s="1"/>
  <c r="P15" i="1"/>
  <c r="Q15" i="1" s="1"/>
  <c r="P12" i="1"/>
  <c r="Q12" i="1" s="1"/>
  <c r="P3" i="1"/>
  <c r="Q3" i="1" s="1"/>
  <c r="P6" i="1"/>
  <c r="Q6" i="1" s="1"/>
  <c r="P22" i="1"/>
  <c r="Q22" i="1" s="1"/>
  <c r="P24" i="1"/>
  <c r="Q24" i="1" s="1"/>
  <c r="P18" i="1"/>
  <c r="Q18" i="1" s="1"/>
  <c r="P5" i="1"/>
  <c r="Q5" i="1" s="1"/>
  <c r="P13" i="1"/>
  <c r="Q13" i="1" s="1"/>
  <c r="P4" i="1"/>
  <c r="Q4" i="1" s="1"/>
  <c r="P2" i="1"/>
  <c r="Q2" i="1" s="1"/>
  <c r="P11" i="1"/>
  <c r="Q11"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Christian Skjødt</author>
  </authors>
  <commentList>
    <comment ref="C1" authorId="0" shapeId="0" xr:uid="{E9589314-EA50-4885-8320-551372922A05}">
      <text>
        <r>
          <rPr>
            <b/>
            <sz val="9"/>
            <color indexed="81"/>
            <rFont val="Tahoma"/>
            <family val="2"/>
          </rPr>
          <t>Christian Skjødt:</t>
        </r>
        <r>
          <rPr>
            <sz val="9"/>
            <color indexed="81"/>
            <rFont val="Tahoma"/>
            <family val="2"/>
          </rPr>
          <t xml:space="preserve">
Name of workflow. </t>
        </r>
        <r>
          <rPr>
            <b/>
            <sz val="9"/>
            <color indexed="81"/>
            <rFont val="Tahoma"/>
            <family val="2"/>
          </rPr>
          <t>Make sure the name is accurate</t>
        </r>
        <r>
          <rPr>
            <sz val="9"/>
            <color indexed="81"/>
            <rFont val="Tahoma"/>
            <family val="2"/>
          </rPr>
          <t xml:space="preserve"> </t>
        </r>
        <r>
          <rPr>
            <b/>
            <sz val="9"/>
            <color indexed="81"/>
            <rFont val="Tahoma"/>
            <family val="2"/>
          </rPr>
          <t>and SME approved</t>
        </r>
        <r>
          <rPr>
            <sz val="9"/>
            <color indexed="81"/>
            <rFont val="Tahoma"/>
            <family val="2"/>
          </rPr>
          <t xml:space="preserve"> as this will be the official name</t>
        </r>
      </text>
    </comment>
    <comment ref="D1" authorId="0" shapeId="0" xr:uid="{C0AA5DCE-9D1C-440C-AB86-09DDE2D80883}">
      <text>
        <r>
          <rPr>
            <b/>
            <sz val="9"/>
            <color indexed="81"/>
            <rFont val="Tahoma"/>
            <family val="2"/>
          </rPr>
          <t>Christian Skjødt:</t>
        </r>
        <r>
          <rPr>
            <sz val="9"/>
            <color indexed="81"/>
            <rFont val="Tahoma"/>
            <family val="2"/>
          </rPr>
          <t xml:space="preserve">
Describe the primary purpose of the workflow, e.g. ambr250 is an experiment workflow containing ambr250 and associated data sources</t>
        </r>
      </text>
    </comment>
    <comment ref="E1" authorId="0" shapeId="0" xr:uid="{58148532-8F34-420D-AD2B-6BA7CE80C5AF}">
      <text>
        <r>
          <rPr>
            <b/>
            <sz val="9"/>
            <color indexed="81"/>
            <rFont val="Tahoma"/>
            <family val="2"/>
          </rPr>
          <t>Christian Skjødt:</t>
        </r>
        <r>
          <rPr>
            <sz val="9"/>
            <color indexed="81"/>
            <rFont val="Tahoma"/>
            <family val="2"/>
          </rPr>
          <t xml:space="preserve">
Who is responsible for the workflow and understands details related to the workflow</t>
        </r>
      </text>
    </comment>
    <comment ref="F1" authorId="0" shapeId="0" xr:uid="{F45D8D2E-58B6-4FF0-A115-FF2574F2D371}">
      <text>
        <r>
          <rPr>
            <b/>
            <sz val="9"/>
            <color indexed="81"/>
            <rFont val="Tahoma"/>
            <family val="2"/>
          </rPr>
          <t>Christian Skjødt:</t>
        </r>
        <r>
          <rPr>
            <sz val="9"/>
            <color indexed="81"/>
            <rFont val="Tahoma"/>
            <family val="2"/>
          </rPr>
          <t xml:space="preserve">
What is the current data transfer and transformation time of all current workflow elements, from data generation to 'ready for analysis' by the SME
This is SMEs best guess according to SME assumptions, which should be a generic use case.
</t>
        </r>
        <r>
          <rPr>
            <b/>
            <sz val="9"/>
            <color indexed="81"/>
            <rFont val="Tahoma"/>
            <family val="2"/>
          </rPr>
          <t xml:space="preserve">Example ambr250 fedbatch: </t>
        </r>
        <r>
          <rPr>
            <sz val="9"/>
            <color indexed="81"/>
            <rFont val="Tahoma"/>
            <family val="2"/>
          </rPr>
          <t>16 * vicell, 16 * bioprofile, 13*cedex, 16 * ambr250, 8 * abl80 including synergies discussed = 595 minutes of pure data transfer and transformation time to obtain ready for analysis data</t>
        </r>
      </text>
    </comment>
    <comment ref="G1" authorId="0" shapeId="0" xr:uid="{D38BA1A9-680E-43F0-905D-05BB4CF1EEBC}">
      <text>
        <r>
          <rPr>
            <b/>
            <sz val="9"/>
            <color indexed="81"/>
            <rFont val="Tahoma"/>
            <family val="2"/>
          </rPr>
          <t>Christian Skjødt:</t>
        </r>
        <r>
          <rPr>
            <sz val="9"/>
            <color indexed="81"/>
            <rFont val="Tahoma"/>
            <family val="2"/>
          </rPr>
          <t xml:space="preserve">
User-business value – What is the relative value to the customer or business? Do our users prefer this over that? What is the revenue impact on our business? Is there a potential penalty or other negative effects if we delay?
</t>
        </r>
        <r>
          <rPr>
            <b/>
            <sz val="9"/>
            <color indexed="81"/>
            <rFont val="Tahoma"/>
            <family val="2"/>
          </rPr>
          <t>small:</t>
        </r>
        <r>
          <rPr>
            <sz val="9"/>
            <color indexed="81"/>
            <rFont val="Tahoma"/>
            <family val="2"/>
          </rPr>
          <t xml:space="preserve"> Data from the workflow does not impart significant value within the scientific area and upload of data to Mimer does not give significant future value
</t>
        </r>
        <r>
          <rPr>
            <b/>
            <sz val="9"/>
            <color indexed="81"/>
            <rFont val="Tahoma"/>
            <family val="2"/>
          </rPr>
          <t>medium:</t>
        </r>
        <r>
          <rPr>
            <sz val="9"/>
            <color indexed="81"/>
            <rFont val="Tahoma"/>
            <family val="2"/>
          </rPr>
          <t xml:space="preserve"> Data from the workflow gives value within the scientific area and upload of data to Mimer is </t>
        </r>
        <r>
          <rPr>
            <b/>
            <sz val="9"/>
            <color indexed="81"/>
            <rFont val="Tahoma"/>
            <family val="2"/>
          </rPr>
          <t>nice to have</t>
        </r>
        <r>
          <rPr>
            <sz val="9"/>
            <color indexed="81"/>
            <rFont val="Tahoma"/>
            <family val="2"/>
          </rPr>
          <t>, but not important</t>
        </r>
        <r>
          <rPr>
            <sz val="9"/>
            <color indexed="81"/>
            <rFont val="Tahoma"/>
            <family val="2"/>
          </rPr>
          <t xml:space="preserve">
</t>
        </r>
        <r>
          <rPr>
            <b/>
            <sz val="9"/>
            <color indexed="81"/>
            <rFont val="Tahoma"/>
            <family val="2"/>
          </rPr>
          <t xml:space="preserve">large: </t>
        </r>
        <r>
          <rPr>
            <sz val="9"/>
            <color indexed="81"/>
            <rFont val="Tahoma"/>
            <family val="2"/>
          </rPr>
          <t xml:space="preserve">Data from the workflow gives significant value within the scientific area and upload of data to Mimer is </t>
        </r>
        <r>
          <rPr>
            <b/>
            <sz val="9"/>
            <color indexed="81"/>
            <rFont val="Tahoma"/>
            <family val="2"/>
          </rPr>
          <t>important</t>
        </r>
        <r>
          <rPr>
            <sz val="9"/>
            <color indexed="81"/>
            <rFont val="Tahoma"/>
            <family val="2"/>
          </rPr>
          <t>, e.g. for crossfunctional data sharing</t>
        </r>
        <r>
          <rPr>
            <sz val="9"/>
            <color indexed="81"/>
            <rFont val="Tahoma"/>
            <family val="2"/>
          </rPr>
          <t xml:space="preserve">
</t>
        </r>
        <r>
          <rPr>
            <b/>
            <sz val="9"/>
            <color indexed="81"/>
            <rFont val="Tahoma"/>
            <family val="2"/>
          </rPr>
          <t>very large:</t>
        </r>
        <r>
          <rPr>
            <sz val="9"/>
            <color indexed="81"/>
            <rFont val="Tahoma"/>
            <family val="2"/>
          </rPr>
          <t xml:space="preserve"> Data from the workflow gives significant value within the scientific area and upload of data to Mimer is </t>
        </r>
        <r>
          <rPr>
            <b/>
            <sz val="9"/>
            <color indexed="81"/>
            <rFont val="Tahoma"/>
            <family val="2"/>
          </rPr>
          <t>critical</t>
        </r>
        <r>
          <rPr>
            <sz val="9"/>
            <color indexed="81"/>
            <rFont val="Tahoma"/>
            <family val="2"/>
          </rPr>
          <t>, e.g. for IND enabling activities and crossfunctional data sharing</t>
        </r>
      </text>
    </comment>
    <comment ref="H1" authorId="0" shapeId="0" xr:uid="{DF1CD88F-53D4-469A-AED7-44E6442F9881}">
      <text>
        <r>
          <rPr>
            <b/>
            <sz val="9"/>
            <color indexed="81"/>
            <rFont val="Tahoma"/>
            <family val="2"/>
          </rPr>
          <t>Christian Skjødt:</t>
        </r>
        <r>
          <rPr>
            <sz val="9"/>
            <color indexed="81"/>
            <rFont val="Tahoma"/>
            <family val="2"/>
          </rPr>
          <t xml:space="preserve">
Time criticality – How does the user/business value decay over time? Is there a fixed deadline? Will they wait for us or move to another solution? Are there Milestones on the critical path impacted by this? What is the current effect on customer satisfaction?
</t>
        </r>
        <r>
          <rPr>
            <b/>
            <sz val="9"/>
            <color indexed="81"/>
            <rFont val="Tahoma"/>
            <family val="2"/>
          </rPr>
          <t xml:space="preserve">minor: </t>
        </r>
        <r>
          <rPr>
            <sz val="9"/>
            <color indexed="81"/>
            <rFont val="Tahoma"/>
            <family val="2"/>
          </rPr>
          <t>it is not important that the workflow is available in the near future, e.g. since it is rarely used or imparts no significant value</t>
        </r>
        <r>
          <rPr>
            <sz val="9"/>
            <color indexed="81"/>
            <rFont val="Tahoma"/>
            <family val="2"/>
          </rPr>
          <t xml:space="preserve">
</t>
        </r>
        <r>
          <rPr>
            <b/>
            <sz val="9"/>
            <color indexed="81"/>
            <rFont val="Tahoma"/>
            <family val="2"/>
          </rPr>
          <t xml:space="preserve">medium: </t>
        </r>
        <r>
          <rPr>
            <sz val="9"/>
            <color indexed="81"/>
            <rFont val="Tahoma"/>
            <family val="2"/>
          </rPr>
          <t xml:space="preserve">It is </t>
        </r>
        <r>
          <rPr>
            <b/>
            <sz val="9"/>
            <color indexed="81"/>
            <rFont val="Tahoma"/>
            <family val="2"/>
          </rPr>
          <t>nice-to-have</t>
        </r>
        <r>
          <rPr>
            <sz val="9"/>
            <color indexed="81"/>
            <rFont val="Tahoma"/>
            <family val="2"/>
          </rPr>
          <t xml:space="preserve"> the workflow available in the near future, e.g. since the workflow could be used, but without it there is no major impact on planned tasks and future data use.</t>
        </r>
        <r>
          <rPr>
            <sz val="9"/>
            <color indexed="81"/>
            <rFont val="Tahoma"/>
            <family val="2"/>
          </rPr>
          <t xml:space="preserve">
</t>
        </r>
        <r>
          <rPr>
            <b/>
            <sz val="9"/>
            <color indexed="81"/>
            <rFont val="Tahoma"/>
            <family val="2"/>
          </rPr>
          <t>major:</t>
        </r>
        <r>
          <rPr>
            <sz val="9"/>
            <color indexed="81"/>
            <rFont val="Tahoma"/>
            <family val="2"/>
          </rPr>
          <t xml:space="preserve"> It is </t>
        </r>
        <r>
          <rPr>
            <b/>
            <sz val="9"/>
            <color indexed="81"/>
            <rFont val="Tahoma"/>
            <family val="2"/>
          </rPr>
          <t>important</t>
        </r>
        <r>
          <rPr>
            <sz val="9"/>
            <color indexed="81"/>
            <rFont val="Tahoma"/>
            <family val="2"/>
          </rPr>
          <t xml:space="preserve"> that the workflow available in the near future, e.g. since the workflow will be used, but without it there is no critical impact on planned tasks and future data use.
</t>
        </r>
        <r>
          <rPr>
            <b/>
            <sz val="9"/>
            <color indexed="81"/>
            <rFont val="Tahoma"/>
            <family val="2"/>
          </rPr>
          <t>critical:</t>
        </r>
        <r>
          <rPr>
            <sz val="9"/>
            <color indexed="81"/>
            <rFont val="Tahoma"/>
            <family val="2"/>
          </rPr>
          <t xml:space="preserve"> It is </t>
        </r>
        <r>
          <rPr>
            <b/>
            <sz val="9"/>
            <color indexed="81"/>
            <rFont val="Tahoma"/>
            <family val="2"/>
          </rPr>
          <t>critical</t>
        </r>
        <r>
          <rPr>
            <sz val="9"/>
            <color indexed="81"/>
            <rFont val="Tahoma"/>
            <family val="2"/>
          </rPr>
          <t xml:space="preserve"> that</t>
        </r>
        <r>
          <rPr>
            <b/>
            <sz val="9"/>
            <color indexed="81"/>
            <rFont val="Tahoma"/>
            <family val="2"/>
          </rPr>
          <t xml:space="preserve"> </t>
        </r>
        <r>
          <rPr>
            <sz val="9"/>
            <color indexed="81"/>
            <rFont val="Tahoma"/>
            <family val="2"/>
          </rPr>
          <t>the workflow available in the near future, e.g. since the workflow will be used a lot, and without it there is critical impact on planned tasks and future data use.</t>
        </r>
      </text>
    </comment>
    <comment ref="I1" authorId="0" shapeId="0" xr:uid="{619A7F76-A273-4C80-B893-F83CB42098EC}">
      <text>
        <r>
          <rPr>
            <b/>
            <sz val="9"/>
            <color indexed="81"/>
            <rFont val="Tahoma"/>
            <family val="2"/>
          </rPr>
          <t>Christian Skjødt:</t>
        </r>
        <r>
          <rPr>
            <sz val="9"/>
            <color indexed="81"/>
            <rFont val="Tahoma"/>
            <family val="2"/>
          </rPr>
          <t xml:space="preserve">
Risk reduction-opportunity enablement value – What else does this do for our business? Does it reduce the risk of this or a future delivery? Is there value in the information we will receive? Will this feature enable new business opportunities?
</t>
        </r>
        <r>
          <rPr>
            <b/>
            <sz val="9"/>
            <color indexed="81"/>
            <rFont val="Tahoma"/>
            <family val="2"/>
          </rPr>
          <t xml:space="preserve">small: </t>
        </r>
        <r>
          <rPr>
            <sz val="9"/>
            <color indexed="81"/>
            <rFont val="Tahoma"/>
            <family val="2"/>
          </rPr>
          <t>Th</t>
        </r>
        <r>
          <rPr>
            <sz val="9"/>
            <color indexed="81"/>
            <rFont val="Tahoma"/>
            <family val="2"/>
          </rPr>
          <t xml:space="preserve">e workflow has </t>
        </r>
        <r>
          <rPr>
            <b/>
            <sz val="9"/>
            <color indexed="81"/>
            <rFont val="Tahoma"/>
            <family val="2"/>
          </rPr>
          <t>little or no</t>
        </r>
        <r>
          <rPr>
            <sz val="9"/>
            <color indexed="81"/>
            <rFont val="Tahoma"/>
            <family val="2"/>
          </rPr>
          <t xml:space="preserve"> synergy with other tasks in the CMC organization
</t>
        </r>
        <r>
          <rPr>
            <b/>
            <sz val="9"/>
            <color indexed="81"/>
            <rFont val="Tahoma"/>
            <family val="2"/>
          </rPr>
          <t>medium:</t>
        </r>
        <r>
          <rPr>
            <sz val="9"/>
            <color indexed="81"/>
            <rFont val="Tahoma"/>
            <family val="2"/>
          </rPr>
          <t xml:space="preserve"> The workflow has </t>
        </r>
        <r>
          <rPr>
            <b/>
            <sz val="9"/>
            <color indexed="81"/>
            <rFont val="Tahoma"/>
            <family val="2"/>
          </rPr>
          <t>some</t>
        </r>
        <r>
          <rPr>
            <sz val="9"/>
            <color indexed="81"/>
            <rFont val="Tahoma"/>
            <family val="2"/>
          </rPr>
          <t xml:space="preserve"> synergy with other tasks in the CMC organization, e.g. enables cross-departmental data flows
</t>
        </r>
        <r>
          <rPr>
            <b/>
            <sz val="9"/>
            <color indexed="81"/>
            <rFont val="Tahoma"/>
            <family val="2"/>
          </rPr>
          <t>large:</t>
        </r>
        <r>
          <rPr>
            <sz val="9"/>
            <color indexed="81"/>
            <rFont val="Tahoma"/>
            <family val="2"/>
          </rPr>
          <t xml:space="preserve"> The workflow has </t>
        </r>
        <r>
          <rPr>
            <b/>
            <sz val="9"/>
            <color indexed="81"/>
            <rFont val="Tahoma"/>
            <family val="2"/>
          </rPr>
          <t>large</t>
        </r>
        <r>
          <rPr>
            <sz val="9"/>
            <color indexed="81"/>
            <rFont val="Tahoma"/>
            <family val="2"/>
          </rPr>
          <t xml:space="preserve"> synergy with other tasks in the CMC organization, e.g. enables cross-departmental data flows and increases time to analysis time significantly within the scientific area
</t>
        </r>
        <r>
          <rPr>
            <b/>
            <sz val="9"/>
            <color indexed="81"/>
            <rFont val="Tahoma"/>
            <family val="2"/>
          </rPr>
          <t>very large:</t>
        </r>
        <r>
          <rPr>
            <sz val="9"/>
            <color indexed="81"/>
            <rFont val="Tahoma"/>
            <family val="2"/>
          </rPr>
          <t xml:space="preserve"> The workflow has </t>
        </r>
        <r>
          <rPr>
            <b/>
            <sz val="9"/>
            <color indexed="81"/>
            <rFont val="Tahoma"/>
            <family val="2"/>
          </rPr>
          <t>very large</t>
        </r>
        <r>
          <rPr>
            <sz val="9"/>
            <color indexed="81"/>
            <rFont val="Tahoma"/>
            <family val="2"/>
          </rPr>
          <t xml:space="preserve"> synergy with other tasks in the CMC organization, e.g. enables cross-departmental data flows, increases time to analysis time significantly within the scientific area and reduces risk significantly in our daily operations</t>
        </r>
      </text>
    </comment>
    <comment ref="J1" authorId="0" shapeId="0" xr:uid="{F6B62345-086F-4E73-AABA-B2DC00DD2DA6}">
      <text>
        <r>
          <rPr>
            <b/>
            <sz val="9"/>
            <color indexed="81"/>
            <rFont val="Tahoma"/>
            <family val="2"/>
          </rPr>
          <t>Christian Skjødt:</t>
        </r>
        <r>
          <rPr>
            <sz val="9"/>
            <color indexed="81"/>
            <rFont val="Tahoma"/>
            <family val="2"/>
          </rPr>
          <t xml:space="preserve">
</t>
        </r>
        <r>
          <rPr>
            <b/>
            <sz val="9"/>
            <color indexed="81"/>
            <rFont val="Tahoma"/>
            <family val="2"/>
          </rPr>
          <t>Data engineer:</t>
        </r>
        <r>
          <rPr>
            <sz val="9"/>
            <color indexed="81"/>
            <rFont val="Tahoma"/>
            <family val="2"/>
          </rPr>
          <t xml:space="preserve"> Estimate how large a task is it to automate this task considering current platform capabilities.
</t>
        </r>
        <r>
          <rPr>
            <b/>
            <sz val="9"/>
            <color indexed="81"/>
            <rFont val="Tahoma"/>
            <family val="2"/>
          </rPr>
          <t xml:space="preserve">small: </t>
        </r>
        <r>
          <rPr>
            <sz val="9"/>
            <color indexed="81"/>
            <rFont val="Tahoma"/>
            <family val="2"/>
          </rPr>
          <t xml:space="preserve">scripts are avaliable and/or task can be scripted within 1 hour
</t>
        </r>
        <r>
          <rPr>
            <b/>
            <sz val="9"/>
            <color indexed="81"/>
            <rFont val="Tahoma"/>
            <family val="2"/>
          </rPr>
          <t>medium:</t>
        </r>
        <r>
          <rPr>
            <sz val="9"/>
            <color indexed="81"/>
            <rFont val="Tahoma"/>
            <family val="2"/>
          </rPr>
          <t xml:space="preserve"> task can be scripted within 1 day
</t>
        </r>
        <r>
          <rPr>
            <b/>
            <sz val="9"/>
            <color indexed="81"/>
            <rFont val="Tahoma"/>
            <family val="2"/>
          </rPr>
          <t>large:</t>
        </r>
        <r>
          <rPr>
            <sz val="9"/>
            <color indexed="81"/>
            <rFont val="Tahoma"/>
            <family val="2"/>
          </rPr>
          <t xml:space="preserve"> task can be scripted within 3 days and/or may have small system enabler dependencies
</t>
        </r>
        <r>
          <rPr>
            <b/>
            <sz val="9"/>
            <color indexed="81"/>
            <rFont val="Tahoma"/>
            <family val="2"/>
          </rPr>
          <t xml:space="preserve">very large: </t>
        </r>
        <r>
          <rPr>
            <sz val="9"/>
            <color indexed="81"/>
            <rFont val="Tahoma"/>
            <family val="2"/>
          </rPr>
          <t>task can be scripted within 1 week and/or may have large system enabler dependencies</t>
        </r>
      </text>
    </comment>
    <comment ref="K1" authorId="0" shapeId="0" xr:uid="{B0C2E11A-92EC-4802-8DEC-658A0477754D}">
      <text>
        <r>
          <rPr>
            <b/>
            <sz val="9"/>
            <color indexed="81"/>
            <rFont val="Tahoma"/>
            <family val="2"/>
          </rPr>
          <t>Christian Skjødt:</t>
        </r>
        <r>
          <rPr>
            <sz val="9"/>
            <color indexed="81"/>
            <rFont val="Tahoma"/>
            <family val="2"/>
          </rPr>
          <t xml:space="preserve">
Commonly assumptions leading to current data transfer timecalculations</t>
        </r>
      </text>
    </comment>
    <comment ref="P1" authorId="0" shapeId="0" xr:uid="{C3E38FD0-8253-4818-ABA6-B1F332DB1945}">
      <text>
        <r>
          <rPr>
            <b/>
            <sz val="9"/>
            <color indexed="81"/>
            <rFont val="Tahoma"/>
            <family val="2"/>
          </rPr>
          <t>Christian Skjødt:</t>
        </r>
        <r>
          <rPr>
            <sz val="9"/>
            <color indexed="81"/>
            <rFont val="Tahoma"/>
            <family val="2"/>
          </rPr>
          <t xml:space="preserve">
business value score + time criticality score + RROE score
Gives an idea of how much the workflow is worth to implement, relative to the others</t>
        </r>
      </text>
    </comment>
    <comment ref="Q1" authorId="0" shapeId="0" xr:uid="{A4924D85-400F-4B2C-8119-C901081264A3}">
      <text>
        <r>
          <rPr>
            <b/>
            <sz val="9"/>
            <color indexed="81"/>
            <rFont val="Tahoma"/>
            <family val="2"/>
          </rPr>
          <t>Christian Skjødt:</t>
        </r>
        <r>
          <rPr>
            <sz val="9"/>
            <color indexed="81"/>
            <rFont val="Tahoma"/>
            <family val="2"/>
          </rPr>
          <t xml:space="preserve">
WSFJ = Cost of delay / job size score
Gives a priority score for the workflow, i.e. which to implement first</t>
        </r>
      </text>
    </comment>
    <comment ref="R1" authorId="0" shapeId="0" xr:uid="{A4D43153-4790-47CF-A806-B5C53C1B7CBD}">
      <text>
        <r>
          <rPr>
            <b/>
            <sz val="9"/>
            <color indexed="81"/>
            <rFont val="Tahoma"/>
            <family val="2"/>
          </rPr>
          <t>Christian Skjødt:</t>
        </r>
        <r>
          <rPr>
            <sz val="9"/>
            <color indexed="81"/>
            <rFont val="Tahoma"/>
            <family val="2"/>
          </rPr>
          <t xml:space="preserve">
What is the current data transfer and transformation time of all current workflow elements, from data generation to 'ready for analysis' by the SME
This is SMEs best guess according to SME assumptions, which should be a generic use case.
</t>
        </r>
        <r>
          <rPr>
            <b/>
            <sz val="9"/>
            <color indexed="81"/>
            <rFont val="Tahoma"/>
            <family val="2"/>
          </rPr>
          <t xml:space="preserve">Example ambr250 fedbatch: </t>
        </r>
        <r>
          <rPr>
            <sz val="9"/>
            <color indexed="81"/>
            <rFont val="Tahoma"/>
            <family val="2"/>
          </rPr>
          <t>16 * vicell, 16 * bioprofile, 13*cedex, 16 * ambr250, 8 * abl80 including synergies discussed = 595 minutes of pure data transfer and transformation time to obtain ready for analysis data</t>
        </r>
      </text>
    </comment>
    <comment ref="S1" authorId="0" shapeId="0" xr:uid="{2F69310A-6355-45BF-9422-8BC74A744B20}">
      <text>
        <r>
          <rPr>
            <b/>
            <sz val="9"/>
            <color indexed="81"/>
            <rFont val="Tahoma"/>
            <family val="2"/>
          </rPr>
          <t>Christian Skjødt:</t>
        </r>
        <r>
          <rPr>
            <sz val="9"/>
            <color indexed="81"/>
            <rFont val="Tahoma"/>
            <family val="2"/>
          </rPr>
          <t xml:space="preserve">
Calculates how much time [min] is saved by Mimer on a given workflow</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<sst xmlns="http://schemas.openxmlformats.org/spreadsheetml/2006/main" count="352" uniqueCount="116">
  <si>
    <t>Scientific area</t>
  </si>
  <si>
    <t>Description</t>
  </si>
  <si>
    <t>SME</t>
  </si>
  <si>
    <t>Job size</t>
  </si>
  <si>
    <t>cell_culture</t>
  </si>
  <si>
    <t>cell_line_generation</t>
  </si>
  <si>
    <t>formulation</t>
  </si>
  <si>
    <t>Comment</t>
  </si>
  <si>
    <t>Department</t>
  </si>
  <si>
    <t>drug_product_manufacturing</t>
  </si>
  <si>
    <t>stability</t>
  </si>
  <si>
    <t>downstream</t>
  </si>
  <si>
    <t>analytical_coordination</t>
  </si>
  <si>
    <t>mass_spectrometry</t>
  </si>
  <si>
    <t>analytical_support</t>
  </si>
  <si>
    <t>biophysical_characterization</t>
  </si>
  <si>
    <t>small</t>
  </si>
  <si>
    <t>medium</t>
  </si>
  <si>
    <t>large</t>
  </si>
  <si>
    <t>very large</t>
  </si>
  <si>
    <t>Current data transfer time [min]</t>
  </si>
  <si>
    <t>Mimer data transfer time [min]</t>
  </si>
  <si>
    <t>Job size score</t>
  </si>
  <si>
    <t>Workflow</t>
  </si>
  <si>
    <t>Business value</t>
  </si>
  <si>
    <t>Time criticality</t>
  </si>
  <si>
    <t>Risk reduction-
opportunity enablement</t>
  </si>
  <si>
    <t>RROE</t>
  </si>
  <si>
    <t>CA</t>
  </si>
  <si>
    <t>DP</t>
  </si>
  <si>
    <t>DS</t>
  </si>
  <si>
    <t>ambr15</t>
  </si>
  <si>
    <t>experiment</t>
  </si>
  <si>
    <t>ambr250</t>
  </si>
  <si>
    <t>seed_train</t>
  </si>
  <si>
    <t>gmp_batch</t>
  </si>
  <si>
    <t>historical_seed_train</t>
  </si>
  <si>
    <t>plate_seed_train</t>
  </si>
  <si>
    <t>plasmid_prep</t>
  </si>
  <si>
    <t>cell_banking</t>
  </si>
  <si>
    <t>single_cell_printing</t>
  </si>
  <si>
    <t>Business value score</t>
  </si>
  <si>
    <t>Time criticality score</t>
  </si>
  <si>
    <t>RROE score</t>
  </si>
  <si>
    <t>DAMO</t>
  </si>
  <si>
    <t>JWA</t>
  </si>
  <si>
    <t>CEH</t>
  </si>
  <si>
    <t>CSK</t>
  </si>
  <si>
    <t>SKR</t>
  </si>
  <si>
    <t>NPE</t>
  </si>
  <si>
    <t>Cost of Delay</t>
  </si>
  <si>
    <t>WSJF</t>
  </si>
  <si>
    <t>critical</t>
  </si>
  <si>
    <t>major</t>
  </si>
  <si>
    <t>minor</t>
  </si>
  <si>
    <t>Data transfer time improvement [min]</t>
  </si>
  <si>
    <t>Status</t>
  </si>
  <si>
    <t>approved</t>
  </si>
  <si>
    <t>excel template</t>
  </si>
  <si>
    <t>shaker_fedbatch</t>
  </si>
  <si>
    <t>historical_fedbatch</t>
  </si>
  <si>
    <t>plate_fedbatch</t>
  </si>
  <si>
    <t>wave_fedbatch</t>
  </si>
  <si>
    <t>CMC</t>
  </si>
  <si>
    <t>generic</t>
  </si>
  <si>
    <t>small scale purification</t>
  </si>
  <si>
    <t>CHUS</t>
  </si>
  <si>
    <t>gmp_manufacturing</t>
  </si>
  <si>
    <t>stable_pool_generation</t>
  </si>
  <si>
    <t>clone_selection_and_screening</t>
  </si>
  <si>
    <t>in testing</t>
  </si>
  <si>
    <t>identified</t>
  </si>
  <si>
    <t>described</t>
  </si>
  <si>
    <t>in implementation</t>
  </si>
  <si>
    <t>linearization_and_transfection</t>
  </si>
  <si>
    <t>SIOL</t>
  </si>
  <si>
    <t>xdr_10</t>
  </si>
  <si>
    <t>xdr_50</t>
  </si>
  <si>
    <t xml:space="preserve"> </t>
  </si>
  <si>
    <t>gmp_seed_train</t>
  </si>
  <si>
    <t>gmp_fedbatch</t>
  </si>
  <si>
    <t>closed, handled by specific workflow types</t>
  </si>
  <si>
    <t>excel template, vicell_xr, vicell_blu, cedex_bioht, ambr250, abl80</t>
  </si>
  <si>
    <t>excel template, vicell_xr, vicell_blu, cedex_bioht, shaker_monitoring</t>
  </si>
  <si>
    <t>excel template, vicell_xr, vicell_blu, cedex_bioht, xdr_50, abl80</t>
  </si>
  <si>
    <t>upsight, cell_metric, hamilton</t>
  </si>
  <si>
    <t>obsolete, not used</t>
  </si>
  <si>
    <t>obsolete</t>
  </si>
  <si>
    <t>excel template, vicell_xr, cedex_bioht, ambr15</t>
  </si>
  <si>
    <t>excel template, vicell_xr, vicell_blu, cedex_bioht, xdr_10, abl80</t>
  </si>
  <si>
    <t>macro in excel template, seed_train wf</t>
  </si>
  <si>
    <t>excel template, vicell_xr, vicell_blu, cedex_bioht</t>
  </si>
  <si>
    <t>excel template, seed_train wf</t>
  </si>
  <si>
    <t>excel template, deltaV</t>
  </si>
  <si>
    <t>handled by scp, plate_seed_train, plate_fed_batch</t>
  </si>
  <si>
    <t>gmp_cell_banking</t>
  </si>
  <si>
    <t>excel template, ambr15, cedex_bioht, vicell_xr</t>
  </si>
  <si>
    <t>excel template, xdr_10, cedex_bioht, vicell_blu, vicell_xr, xdr_monitoring</t>
  </si>
  <si>
    <t>excel template, cytena upsight, cell metric, hamilton</t>
  </si>
  <si>
    <t>excel template, xdr_10, bioprofile_flex2, cedex_bioht, vicell_blu, vicell_xr</t>
  </si>
  <si>
    <t>use gmp_seed_train, gmp_cell_bank (Bioreliance, AGC, etc.)</t>
  </si>
  <si>
    <t>excel template, use gmp_seed_train wf, cell_banking ds</t>
  </si>
  <si>
    <t>excel template, celligo, guava, hamilton, octet_qk, octet_rh</t>
  </si>
  <si>
    <t>gmp_purification</t>
  </si>
  <si>
    <t>gravity_purification</t>
  </si>
  <si>
    <t>10_to_50L_single_use_bioreactors</t>
  </si>
  <si>
    <t>excel template, vicell_xr, vicell_blu, cedex_bioht, xdr_10, abl80, abl90, xdr_50, bio_blu</t>
  </si>
  <si>
    <t>plate_stable_pool_generation</t>
  </si>
  <si>
    <t>excel template, plate_seed_train wf</t>
  </si>
  <si>
    <t>excel template, vicell_xr, vicell_blu, celligo, guava, octet_qk</t>
  </si>
  <si>
    <t>downstream_development</t>
  </si>
  <si>
    <t>all steps in downstream development</t>
  </si>
  <si>
    <t>on hold</t>
  </si>
  <si>
    <t>NICE TO collect xdr_10, xdr_50, bio_blu and future bioreactors in one wf</t>
  </si>
  <si>
    <t>in house purification</t>
  </si>
  <si>
    <t>material_supply_purification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</si>
</sst>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s>
  <fills count="6">
    <fill>
      <patternFill patternType="none"/>
    </fill>
    <fill>
      <patternFill patternType="gray125"/>
    </fill>
    <fill>
      <patternFill patternType="solid">
        <fgColor theme="0" tint="-0.14999847407452621"/>
        <bgColor indexed="64"/>
      </patternFill>
    </fill>
    <fill>
      <patternFill patternType="solid">
        <fgColor rgb="FFFFC000"/>
        <bgColor indexed="64"/>
      </patternFill>
    </fill>
    <fill>
      <patternFill patternType="solid">
        <fgColor rgb="FF92D050"/>
        <bgColor indexed="64"/>
      </patternFill>
    </fill>
    <fill>
      <patternFill patternType="solid">
        <fgColor theme="8" tint="0.59999389629810485"/>
        <bgColor indexed="64"/>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vertical="center" wrapText="1"/>
    </xf>
    <xf numFmtId="0" fontId="0" fillId="2" borderId="0" xfId="0" applyFill="1"/>
    <xf numFmtId="0" fontId="0" fillId="3" borderId="0" xfId="0" applyFill="1"/>
    <xf numFmtId="0" fontId="0" fillId="2" borderId="0" xfId="0" applyFill="1" applyAlignment="1">
      <alignment vertical="center"/>
    </xf>
    <xf numFmtId="0" fontId="0" fillId="0" borderId="0" xfId="0" applyAlignment="1">
      <alignment wrapText="1"/>
    </xf>
    <xf numFmtId="0" fontId="1" fillId="2" borderId="0" xfId="0" applyFont="1" applyFill="1" applyAlignment="1">
      <alignment vertical="center"/>
    </xf>
    <xf numFmtId="2" fontId="0" fillId="0" borderId="0" xfId="0" applyNumberFormat="1"/>
    <xf numFmtId="2" fontId="0" fillId="2" borderId="0" xfId="0" applyNumberFormat="1" applyFill="1"/>
    <xf numFmtId="0" fontId="0" fillId="3" borderId="0" xfId="0" applyFill="1" applyProtection="1">
      <protection locked="0"/>
    </xf>
    <xf numFmtId="0" fontId="0" fillId="5" borderId="0" xfId="0" applyFill="1" applyProtection="1">
      <protection locked="0"/>
    </xf>
    <xf numFmtId="0" fontId="0" fillId="4" borderId="0" xfId="0" applyFill="1" applyProtection="1">
      <protection locked="0"/>
    </xf>
  </cellXfs>
  <cellStyles count="1">
    <cellStyle name="Normal" xfId="0" builtinId="0"/>
  </cellStyles>
  <dxfs count="4">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58AEA-7FEE-40EF-AA10-43C66A1CBD45}">
  <sheetPr>
    <tabColor rgb="FF92D050"/>
  </sheetPr>
  <dimension ref="A1:U42"/>
  <sheetViews>
    <sheetView tabSelected="1" zoomScale="55" zoomScaleNormal="55" workbookViewId="0">
      <selection activeCell="R27" sqref="R27"/>
    </sheetView>
  </sheetViews>
  <sheetFormatPr defaultRowHeight="14.4" x14ac:dyDescent="0.55000000000000004"/>
  <cols>
    <col min="1" max="1" width="14.83984375" bestFit="1" customWidth="1"/>
    <col min="2" max="2" width="20.68359375" bestFit="1" customWidth="1"/>
    <col min="3" max="3" width="35.68359375" bestFit="1" customWidth="1"/>
    <col min="4" max="4" width="64.26171875" customWidth="1"/>
    <col min="5" max="5" width="7.41796875" customWidth="1"/>
    <col min="6" max="6" width="19.68359375" customWidth="1"/>
    <col min="7" max="7" width="18.83984375" customWidth="1"/>
    <col min="8" max="8" width="18.26171875" customWidth="1"/>
    <col min="9" max="9" width="19.26171875" customWidth="1"/>
    <col min="10" max="10" width="11" customWidth="1"/>
    <col min="11" max="11" width="60.41796875" customWidth="1"/>
    <col min="12" max="12" width="14.83984375" customWidth="1"/>
    <col min="13" max="13" width="14.15625" customWidth="1"/>
    <col min="14" max="14" width="15.26171875" customWidth="1"/>
    <col min="15" max="15" width="13.15625" customWidth="1"/>
    <col min="16" max="16" width="16.83984375" customWidth="1"/>
    <col min="17" max="17" width="8.15625" style="7" customWidth="1"/>
    <col min="18" max="18" width="19" customWidth="1"/>
    <col min="19" max="19" width="22.578125" customWidth="1"/>
    <col min="20" max="20" width="20.83984375" customWidth="1"/>
    <col min="21" max="21" width="9.26171875" customWidth="1"/>
  </cols>
  <sheetData>
    <row r="1" spans="1:21" s="5" customFormat="1" ht="43.2" x14ac:dyDescent="0.55000000000000004">
      <c r="A1" s="1" t="s">
        <v>8</v>
      </c>
      <c r="B1" s="1" t="s">
        <v>0</v>
      </c>
      <c r="C1" s="1" t="s">
        <v>23</v>
      </c>
      <c r="D1" s="1" t="s">
        <v>1</v>
      </c>
      <c r="E1" s="1" t="s">
        <v>2</v>
      </c>
      <c r="F1" s="1" t="s">
        <v>20</v>
      </c>
      <c r="G1" s="6" t="s">
        <v>24</v>
      </c>
      <c r="H1" s="6" t="s">
        <v>25</v>
      </c>
      <c r="I1" s="1" t="s">
        <v>26</v>
      </c>
      <c r="J1" s="1" t="s">
        <v>3</v>
      </c>
      <c r="K1" s="1" t="s">
        <v>7</v>
      </c>
      <c r="L1" s="1" t="s">
        <v>41</v>
      </c>
      <c r="M1" s="1" t="s">
        <v>42</v>
      </c>
      <c r="N1" s="1" t="s">
        <v>43</v>
      </c>
      <c r="O1" s="1" t="s">
        <v>22</v>
      </c>
      <c r="P1" s="6" t="s">
        <v>50</v>
      </c>
      <c r="Q1" s="6" t="s">
        <v>51</v>
      </c>
      <c r="R1" s="1" t="s">
        <v>21</v>
      </c>
      <c r="S1" s="1" t="s">
        <v>55</v>
      </c>
      <c r="T1" s="1" t="s">
        <v>56</v>
      </c>
      <c r="U1" s="5" t="s">
        <v>78</v>
      </c>
    </row>
    <row r="2" spans="1:21" x14ac:dyDescent="0.55000000000000004">
      <c r="A2" s="3" t="s">
        <v>30</v>
      </c>
      <c r="B2" s="3" t="s">
        <v>4</v>
      </c>
      <c r="C2" s="9" t="s">
        <v>33</v>
      </c>
      <c r="D2" s="9" t="s">
        <v>99</v>
      </c>
      <c r="E2" s="9" t="s">
        <v>45</v>
      </c>
      <c r="F2" s="9">
        <v>580</v>
      </c>
      <c r="G2" s="9" t="s">
        <v>19</v>
      </c>
      <c r="H2" s="9" t="s">
        <v>52</v>
      </c>
      <c r="I2" s="9" t="s">
        <v>18</v>
      </c>
      <c r="J2" s="10" t="s">
        <v>17</v>
      </c>
      <c r="K2" s="10" t="s">
        <v>82</v>
      </c>
      <c r="L2" s="2" cm="1">
        <f t="array" ref="L2">IF(G2="","",_xlfn.IFS(G2="small",1,G2="medium",4,G2="large",7,G2="very large",10))</f>
        <v>10</v>
      </c>
      <c r="M2" s="2" cm="1">
        <f t="array" ref="M2">IF(H2="","",_xlfn.IFS(H2="minor",1,H2="medium",4,H2="major",7,H2="critical",10))</f>
        <v>10</v>
      </c>
      <c r="N2" s="2" cm="1">
        <f t="array" ref="N2">IF(I2="","",_xlfn.IFS(I2="small",1,I2="medium",4,I2="large",7,I2="very large",10))</f>
        <v>7</v>
      </c>
      <c r="O2" s="2" cm="1">
        <f t="array" ref="O2">IF(J2="","",_xlfn.IFS(J2="small",1,J2="medium",4,J2="large",7,J2="very large",10))</f>
        <v>4</v>
      </c>
      <c r="P2" s="2">
        <f t="shared" ref="P2:P23" si="0">IF(L2="","",L2+M2+N2)</f>
        <v>27</v>
      </c>
      <c r="Q2" s="8">
        <f t="shared" ref="Q2:Q23" si="1">IF(P2="","",P2/O2)</f>
        <v>6.75</v>
      </c>
      <c r="R2" s="11">
        <v>120</v>
      </c>
      <c r="S2" s="2">
        <f t="shared" ref="S2:S23" si="2">IF(R2="","",F2-R2)</f>
        <v>460</v>
      </c>
      <c r="T2" t="s">
        <v>57</v>
      </c>
    </row>
    <row r="3" spans="1:21" x14ac:dyDescent="0.55000000000000004">
      <c r="A3" s="3" t="s">
        <v>30</v>
      </c>
      <c r="B3" s="3" t="s">
        <v>4</v>
      </c>
      <c r="C3" s="9" t="s">
        <v>60</v>
      </c>
      <c r="D3" s="9" t="s">
        <v>32</v>
      </c>
      <c r="E3" s="9" t="s">
        <v>47</v>
      </c>
      <c r="F3" s="9">
        <v>60</v>
      </c>
      <c r="G3" s="9" t="s">
        <v>18</v>
      </c>
      <c r="H3" s="9" t="s">
        <v>53</v>
      </c>
      <c r="I3" s="9" t="s">
        <v>19</v>
      </c>
      <c r="J3" s="10" t="s">
        <v>18</v>
      </c>
      <c r="K3" s="10" t="s">
        <v>81</v>
      </c>
      <c r="L3" s="2" cm="1">
        <f t="array" ref="L3">IF(G3="","",_xlfn.IFS(G3="small",1,G3="medium",4,G3="large",7,G3="very large",10))</f>
        <v>7</v>
      </c>
      <c r="M3" s="2" cm="1">
        <f t="array" ref="M3">IF(H3="","",_xlfn.IFS(H3="minor",1,H3="medium",4,H3="major",7,H3="critical",10))</f>
        <v>7</v>
      </c>
      <c r="N3" s="2" cm="1">
        <f t="array" ref="N3">IF(I3="","",_xlfn.IFS(I3="small",1,I3="medium",4,I3="large",7,I3="very large",10))</f>
        <v>10</v>
      </c>
      <c r="O3" s="2" cm="1">
        <f t="array" ref="O3">IF(J3="","",_xlfn.IFS(J3="small",1,J3="medium",4,J3="large",7,J3="very large",10))</f>
        <v>7</v>
      </c>
      <c r="P3" s="2">
        <f t="shared" si="0"/>
        <v>24</v>
      </c>
      <c r="Q3" s="8">
        <f t="shared" si="1"/>
        <v>3.4285714285714284</v>
      </c>
      <c r="R3" s="11">
        <v>30</v>
      </c>
      <c r="S3" s="2">
        <f t="shared" si="2"/>
        <v>30</v>
      </c>
      <c r="T3" t="s">
        <v>57</v>
      </c>
    </row>
    <row r="4" spans="1:21" x14ac:dyDescent="0.55000000000000004">
      <c r="A4" s="3" t="s">
        <v>30</v>
      </c>
      <c r="B4" s="3" t="s">
        <v>4</v>
      </c>
      <c r="C4" s="9" t="s">
        <v>59</v>
      </c>
      <c r="D4" s="9" t="s">
        <v>32</v>
      </c>
      <c r="E4" s="9" t="s">
        <v>46</v>
      </c>
      <c r="F4" s="9">
        <v>230</v>
      </c>
      <c r="G4" s="9" t="s">
        <v>17</v>
      </c>
      <c r="H4" s="9" t="s">
        <v>17</v>
      </c>
      <c r="I4" s="9" t="s">
        <v>17</v>
      </c>
      <c r="J4" s="10" t="s">
        <v>18</v>
      </c>
      <c r="K4" s="10" t="s">
        <v>83</v>
      </c>
      <c r="L4" s="2" cm="1">
        <f t="array" ref="L4">IF(G4="","",_xlfn.IFS(G4="small",1,G4="medium",4,G4="large",7,G4="very large",10))</f>
        <v>4</v>
      </c>
      <c r="M4" s="2" cm="1">
        <f t="array" ref="M4">IF(H4="","",_xlfn.IFS(H4="minor",1,H4="medium",4,H4="major",7,H4="critical",10))</f>
        <v>4</v>
      </c>
      <c r="N4" s="2" cm="1">
        <f t="array" ref="N4">IF(I4="","",_xlfn.IFS(I4="small",1,I4="medium",4,I4="large",7,I4="very large",10))</f>
        <v>4</v>
      </c>
      <c r="O4" s="2" cm="1">
        <f t="array" ref="O4">IF(J4="","",_xlfn.IFS(J4="small",1,J4="medium",4,J4="large",7,J4="very large",10))</f>
        <v>7</v>
      </c>
      <c r="P4" s="2">
        <f t="shared" si="0"/>
        <v>12</v>
      </c>
      <c r="Q4" s="8">
        <f t="shared" si="1"/>
        <v>1.7142857142857142</v>
      </c>
      <c r="R4" s="11">
        <v>80</v>
      </c>
      <c r="S4" s="2">
        <f t="shared" si="2"/>
        <v>150</v>
      </c>
      <c r="T4" t="s">
        <v>57</v>
      </c>
    </row>
    <row r="5" spans="1:21" x14ac:dyDescent="0.55000000000000004">
      <c r="A5" s="3" t="s">
        <v>30</v>
      </c>
      <c r="B5" s="3" t="s">
        <v>4</v>
      </c>
      <c r="C5" s="9" t="s">
        <v>77</v>
      </c>
      <c r="D5" s="9" t="s">
        <v>32</v>
      </c>
      <c r="E5" s="9" t="s">
        <v>45</v>
      </c>
      <c r="F5" s="9">
        <v>370</v>
      </c>
      <c r="G5" s="9" t="s">
        <v>17</v>
      </c>
      <c r="H5" s="9" t="s">
        <v>17</v>
      </c>
      <c r="I5" s="9" t="s">
        <v>19</v>
      </c>
      <c r="J5" s="10" t="s">
        <v>19</v>
      </c>
      <c r="K5" s="10" t="s">
        <v>84</v>
      </c>
      <c r="L5" s="2" cm="1">
        <f t="array" ref="L5">IF(G5="","",_xlfn.IFS(G5="small",1,G5="medium",4,G5="large",7,G5="very large",10))</f>
        <v>4</v>
      </c>
      <c r="M5" s="2" cm="1">
        <f t="array" ref="M5">IF(H5="","",_xlfn.IFS(H5="minor",1,H5="medium",4,H5="major",7,H5="critical",10))</f>
        <v>4</v>
      </c>
      <c r="N5" s="2" cm="1">
        <f t="array" ref="N5">IF(I5="","",_xlfn.IFS(I5="small",1,I5="medium",4,I5="large",7,I5="very large",10))</f>
        <v>10</v>
      </c>
      <c r="O5" s="2" cm="1">
        <f t="array" ref="O5">IF(J5="","",_xlfn.IFS(J5="small",1,J5="medium",4,J5="large",7,J5="very large",10))</f>
        <v>10</v>
      </c>
      <c r="P5" s="2">
        <f t="shared" si="0"/>
        <v>18</v>
      </c>
      <c r="Q5" s="8">
        <f t="shared" si="1"/>
        <v>1.8</v>
      </c>
      <c r="R5" s="11">
        <v>100</v>
      </c>
      <c r="S5" s="2">
        <f t="shared" si="2"/>
        <v>270</v>
      </c>
      <c r="T5" t="s">
        <v>57</v>
      </c>
    </row>
    <row r="6" spans="1:21" x14ac:dyDescent="0.55000000000000004">
      <c r="A6" s="3" t="s">
        <v>30</v>
      </c>
      <c r="B6" s="3" t="s">
        <v>4</v>
      </c>
      <c r="C6" s="9" t="s">
        <v>36</v>
      </c>
      <c r="D6" s="9" t="s">
        <v>32</v>
      </c>
      <c r="E6" s="9" t="s">
        <v>47</v>
      </c>
      <c r="F6" s="9">
        <v>60</v>
      </c>
      <c r="G6" s="9" t="s">
        <v>17</v>
      </c>
      <c r="H6" s="9" t="s">
        <v>17</v>
      </c>
      <c r="I6" s="9" t="s">
        <v>18</v>
      </c>
      <c r="J6" s="10" t="s">
        <v>17</v>
      </c>
      <c r="K6" s="10" t="s">
        <v>81</v>
      </c>
      <c r="L6" s="2" cm="1">
        <f t="array" ref="L6">IF(G6="","",_xlfn.IFS(G6="small",1,G6="medium",4,G6="large",7,G6="very large",10))</f>
        <v>4</v>
      </c>
      <c r="M6" s="2" cm="1">
        <f t="array" ref="M6">IF(H6="","",_xlfn.IFS(H6="minor",1,H6="medium",4,H6="major",7,H6="critical",10))</f>
        <v>4</v>
      </c>
      <c r="N6" s="2" cm="1">
        <f t="array" ref="N6">IF(I6="","",_xlfn.IFS(I6="small",1,I6="medium",4,I6="large",7,I6="very large",10))</f>
        <v>7</v>
      </c>
      <c r="O6" s="2" cm="1">
        <f t="array" ref="O6">IF(J6="","",_xlfn.IFS(J6="small",1,J6="medium",4,J6="large",7,J6="very large",10))</f>
        <v>4</v>
      </c>
      <c r="P6" s="2">
        <f t="shared" si="0"/>
        <v>15</v>
      </c>
      <c r="Q6" s="8">
        <f t="shared" si="1"/>
        <v>3.75</v>
      </c>
      <c r="R6" s="11">
        <v>30</v>
      </c>
      <c r="S6" s="2">
        <f t="shared" si="2"/>
        <v>30</v>
      </c>
      <c r="T6" t="s">
        <v>57</v>
      </c>
    </row>
    <row r="7" spans="1:21" x14ac:dyDescent="0.55000000000000004">
      <c r="A7" s="3" t="s">
        <v>30</v>
      </c>
      <c r="B7" s="3" t="s">
        <v>11</v>
      </c>
      <c r="C7" s="9" t="s">
        <v>110</v>
      </c>
      <c r="D7" s="9" t="s">
        <v>111</v>
      </c>
      <c r="E7" s="9" t="s">
        <v>66</v>
      </c>
      <c r="F7" s="9">
        <v>600</v>
      </c>
      <c r="G7" s="9" t="s">
        <v>19</v>
      </c>
      <c r="H7" s="9" t="s">
        <v>52</v>
      </c>
      <c r="I7" s="9" t="s">
        <v>19</v>
      </c>
      <c r="J7" s="10" t="s">
        <v>19</v>
      </c>
      <c r="K7" s="10" t="s">
        <v>58</v>
      </c>
      <c r="L7" s="2" cm="1">
        <f t="array" ref="L7">IF(G7="","",_xlfn.IFS(G7="small",1,G7="medium",4,G7="large",7,G7="very large",10))</f>
        <v>10</v>
      </c>
      <c r="M7" s="2" cm="1">
        <f t="array" ref="M7">IF(H7="","",_xlfn.IFS(H7="minor",1,H7="medium",4,H7="major",7,H7="critical",10))</f>
        <v>10</v>
      </c>
      <c r="N7" s="2" cm="1">
        <f t="array" ref="N7">IF(I7="","",_xlfn.IFS(I7="small",1,I7="medium",4,I7="large",7,I7="very large",10))</f>
        <v>10</v>
      </c>
      <c r="O7" s="2" cm="1">
        <f t="array" ref="O7">IF(J7="","",_xlfn.IFS(J7="small",1,J7="medium",4,J7="large",7,J7="very large",10))</f>
        <v>10</v>
      </c>
      <c r="P7" s="2">
        <f t="shared" ref="P7" si="3">IF(L7="","",L7+M7+N7)</f>
        <v>30</v>
      </c>
      <c r="Q7" s="8">
        <f t="shared" ref="Q7" si="4">IF(P7="","",P7/O7)</f>
        <v>3</v>
      </c>
      <c r="R7" s="11"/>
      <c r="S7" s="2" t="str">
        <f t="shared" ref="S7" si="5">IF(R7="","",F7-R7)</f>
        <v/>
      </c>
      <c r="T7" t="s">
        <v>70</v>
      </c>
    </row>
    <row r="8" spans="1:21" x14ac:dyDescent="0.55000000000000004">
      <c r="A8" s="3" t="s">
        <v>30</v>
      </c>
      <c r="B8" s="3" t="s">
        <v>11</v>
      </c>
      <c r="C8" s="9" t="s">
        <v>103</v>
      </c>
      <c r="D8" s="9" t="s">
        <v>35</v>
      </c>
      <c r="E8" s="9" t="s">
        <v>66</v>
      </c>
      <c r="F8" s="9">
        <v>1200</v>
      </c>
      <c r="G8" s="9" t="s">
        <v>19</v>
      </c>
      <c r="H8" s="9" t="s">
        <v>53</v>
      </c>
      <c r="I8" s="9" t="s">
        <v>19</v>
      </c>
      <c r="J8" s="10" t="s">
        <v>19</v>
      </c>
      <c r="K8" s="10" t="s">
        <v>58</v>
      </c>
      <c r="L8" s="2" cm="1">
        <f t="array" ref="L8">IF(G8="","",_xlfn.IFS(G8="small",1,G8="medium",4,G8="large",7,G8="very large",10))</f>
        <v>10</v>
      </c>
      <c r="M8" s="2" cm="1">
        <f t="array" ref="M8">IF(H8="","",_xlfn.IFS(H8="minor",1,H8="medium",4,H8="major",7,H8="critical",10))</f>
        <v>7</v>
      </c>
      <c r="N8" s="2" cm="1">
        <f t="array" ref="N8">IF(I8="","",_xlfn.IFS(I8="small",1,I8="medium",4,I8="large",7,I8="very large",10))</f>
        <v>10</v>
      </c>
      <c r="O8" s="2" cm="1">
        <f t="array" ref="O8">IF(J8="","",_xlfn.IFS(J8="small",1,J8="medium",4,J8="large",7,J8="very large",10))</f>
        <v>10</v>
      </c>
      <c r="P8" s="2">
        <f t="shared" si="0"/>
        <v>27</v>
      </c>
      <c r="Q8" s="8">
        <f t="shared" si="1"/>
        <v>2.7</v>
      </c>
      <c r="R8" s="11">
        <v>240</v>
      </c>
      <c r="S8" s="2">
        <f t="shared" si="2"/>
        <v>960</v>
      </c>
      <c r="T8" t="s">
        <v>57</v>
      </c>
    </row>
    <row r="9" spans="1:21" x14ac:dyDescent="0.55000000000000004">
      <c r="A9" s="3" t="s">
        <v>30</v>
      </c>
      <c r="B9" s="3" t="s">
        <v>11</v>
      </c>
      <c r="C9" s="9" t="s">
        <v>104</v>
      </c>
      <c r="D9" s="9" t="s">
        <v>65</v>
      </c>
      <c r="E9" s="9" t="s">
        <v>66</v>
      </c>
      <c r="F9" s="9">
        <v>30</v>
      </c>
      <c r="G9" s="9" t="s">
        <v>17</v>
      </c>
      <c r="H9" s="9" t="s">
        <v>52</v>
      </c>
      <c r="I9" s="9" t="s">
        <v>19</v>
      </c>
      <c r="J9" s="10" t="s">
        <v>17</v>
      </c>
      <c r="K9" s="10" t="s">
        <v>58</v>
      </c>
      <c r="L9" s="2" cm="1">
        <f t="array" ref="L9">IF(G9="","",_xlfn.IFS(G9="small",1,G9="medium",4,G9="large",7,G9="very large",10))</f>
        <v>4</v>
      </c>
      <c r="M9" s="2" cm="1">
        <f t="array" ref="M9">IF(H9="","",_xlfn.IFS(H9="minor",1,H9="medium",4,H9="major",7,H9="critical",10))</f>
        <v>10</v>
      </c>
      <c r="N9" s="2" cm="1">
        <f t="array" ref="N9">IF(I9="","",_xlfn.IFS(I9="small",1,I9="medium",4,I9="large",7,I9="very large",10))</f>
        <v>10</v>
      </c>
      <c r="O9" s="2" cm="1">
        <f t="array" ref="O9">IF(J9="","",_xlfn.IFS(J9="small",1,J9="medium",4,J9="large",7,J9="very large",10))</f>
        <v>4</v>
      </c>
      <c r="P9" s="2">
        <f t="shared" si="0"/>
        <v>24</v>
      </c>
      <c r="Q9" s="8">
        <f t="shared" si="1"/>
        <v>6</v>
      </c>
      <c r="R9" s="11">
        <v>15</v>
      </c>
      <c r="S9" s="2">
        <f t="shared" si="2"/>
        <v>15</v>
      </c>
      <c r="T9" t="s">
        <v>57</v>
      </c>
    </row>
    <row r="10" spans="1:21" x14ac:dyDescent="0.55000000000000004">
      <c r="A10" s="3" t="s">
        <v>30</v>
      </c>
      <c r="B10" s="3" t="s">
        <v>5</v>
      </c>
      <c r="C10" s="9" t="s">
        <v>40</v>
      </c>
      <c r="D10" s="9" t="s">
        <v>98</v>
      </c>
      <c r="E10" s="9" t="s">
        <v>75</v>
      </c>
      <c r="F10" s="9">
        <v>160</v>
      </c>
      <c r="G10" s="9" t="s">
        <v>18</v>
      </c>
      <c r="H10" s="9" t="s">
        <v>17</v>
      </c>
      <c r="I10" s="9" t="s">
        <v>18</v>
      </c>
      <c r="J10" s="10" t="s">
        <v>17</v>
      </c>
      <c r="K10" s="10" t="s">
        <v>85</v>
      </c>
      <c r="L10" s="2" cm="1">
        <f t="array" ref="L10">IF(G10="","",_xlfn.IFS(G10="small",1,G10="medium",4,G10="large",7,G10="very large",10))</f>
        <v>7</v>
      </c>
      <c r="M10" s="2" cm="1">
        <f t="array" ref="M10">IF(H10="","",_xlfn.IFS(H10="minor",1,H10="medium",4,H10="major",7,H10="critical",10))</f>
        <v>4</v>
      </c>
      <c r="N10" s="2" cm="1">
        <f t="array" ref="N10">IF(I10="","",_xlfn.IFS(I10="small",1,I10="medium",4,I10="large",7,I10="very large",10))</f>
        <v>7</v>
      </c>
      <c r="O10" s="2" cm="1">
        <f t="array" ref="O10">IF(J10="","",_xlfn.IFS(J10="small",1,J10="medium",4,J10="large",7,J10="very large",10))</f>
        <v>4</v>
      </c>
      <c r="P10" s="2">
        <f t="shared" si="0"/>
        <v>18</v>
      </c>
      <c r="Q10" s="8">
        <f t="shared" si="1"/>
        <v>4.5</v>
      </c>
      <c r="R10" s="11">
        <v>30</v>
      </c>
      <c r="S10" s="2">
        <f t="shared" si="2"/>
        <v>130</v>
      </c>
      <c r="T10" t="s">
        <v>57</v>
      </c>
    </row>
    <row r="11" spans="1:21" x14ac:dyDescent="0.55000000000000004">
      <c r="A11" s="3" t="s">
        <v>30</v>
      </c>
      <c r="B11" s="3" t="s">
        <v>4</v>
      </c>
      <c r="C11" s="9" t="s">
        <v>31</v>
      </c>
      <c r="D11" s="9" t="s">
        <v>96</v>
      </c>
      <c r="E11" s="9" t="s">
        <v>44</v>
      </c>
      <c r="F11" s="9">
        <v>580</v>
      </c>
      <c r="G11" s="9" t="s">
        <v>18</v>
      </c>
      <c r="H11" s="9" t="s">
        <v>52</v>
      </c>
      <c r="I11" s="9" t="s">
        <v>18</v>
      </c>
      <c r="J11" s="10" t="s">
        <v>17</v>
      </c>
      <c r="K11" s="10" t="s">
        <v>88</v>
      </c>
      <c r="L11" s="2" cm="1">
        <f t="array" ref="L11">IF(G11="","",_xlfn.IFS(G11="small",1,G11="medium",4,G11="large",7,G11="very large",10))</f>
        <v>7</v>
      </c>
      <c r="M11" s="2" cm="1">
        <f t="array" ref="M11">IF(H11="","",_xlfn.IFS(H11="minor",1,H11="medium",4,H11="major",7,H11="critical",10))</f>
        <v>10</v>
      </c>
      <c r="N11" s="2" cm="1">
        <f t="array" ref="N11">IF(I11="","",_xlfn.IFS(I11="small",1,I11="medium",4,I11="large",7,I11="very large",10))</f>
        <v>7</v>
      </c>
      <c r="O11" s="2" cm="1">
        <f t="array" ref="O11">IF(J11="","",_xlfn.IFS(J11="small",1,J11="medium",4,J11="large",7,J11="very large",10))</f>
        <v>4</v>
      </c>
      <c r="P11" s="2">
        <f t="shared" si="0"/>
        <v>24</v>
      </c>
      <c r="Q11" s="8">
        <f t="shared" si="1"/>
        <v>6</v>
      </c>
      <c r="R11" s="11">
        <v>140</v>
      </c>
      <c r="S11" s="2">
        <f t="shared" si="2"/>
        <v>440</v>
      </c>
      <c r="T11" t="s">
        <v>57</v>
      </c>
    </row>
    <row r="12" spans="1:21" x14ac:dyDescent="0.55000000000000004">
      <c r="A12" s="3" t="s">
        <v>30</v>
      </c>
      <c r="B12" s="3" t="s">
        <v>5</v>
      </c>
      <c r="C12" s="9" t="s">
        <v>61</v>
      </c>
      <c r="D12" s="9" t="s">
        <v>102</v>
      </c>
      <c r="E12" s="9" t="s">
        <v>75</v>
      </c>
      <c r="F12" s="9">
        <v>320</v>
      </c>
      <c r="G12" s="9" t="s">
        <v>19</v>
      </c>
      <c r="H12" s="9" t="s">
        <v>53</v>
      </c>
      <c r="I12" s="9" t="s">
        <v>18</v>
      </c>
      <c r="J12" s="10" t="s">
        <v>18</v>
      </c>
      <c r="K12" s="10" t="s">
        <v>102</v>
      </c>
      <c r="L12" s="2" cm="1">
        <f t="array" ref="L12">IF(G12="","",_xlfn.IFS(G12="small",1,G12="medium",4,G12="large",7,G12="very large",10))</f>
        <v>10</v>
      </c>
      <c r="M12" s="2" cm="1">
        <f t="array" ref="M12">IF(H12="","",_xlfn.IFS(H12="minor",1,H12="medium",4,H12="major",7,H12="critical",10))</f>
        <v>7</v>
      </c>
      <c r="N12" s="2" cm="1">
        <f t="array" ref="N12">IF(I12="","",_xlfn.IFS(I12="small",1,I12="medium",4,I12="large",7,I12="very large",10))</f>
        <v>7</v>
      </c>
      <c r="O12" s="2" cm="1">
        <f t="array" ref="O12">IF(J12="","",_xlfn.IFS(J12="small",1,J12="medium",4,J12="large",7,J12="very large",10))</f>
        <v>7</v>
      </c>
      <c r="P12" s="2">
        <f t="shared" si="0"/>
        <v>24</v>
      </c>
      <c r="Q12" s="8">
        <f t="shared" si="1"/>
        <v>3.4285714285714284</v>
      </c>
      <c r="R12" s="11">
        <v>30</v>
      </c>
      <c r="S12" s="2">
        <f t="shared" si="2"/>
        <v>290</v>
      </c>
      <c r="T12" t="s">
        <v>57</v>
      </c>
    </row>
    <row r="13" spans="1:21" x14ac:dyDescent="0.55000000000000004">
      <c r="A13" s="3" t="s">
        <v>30</v>
      </c>
      <c r="B13" s="3" t="s">
        <v>4</v>
      </c>
      <c r="C13" s="9" t="s">
        <v>76</v>
      </c>
      <c r="D13" s="9" t="s">
        <v>97</v>
      </c>
      <c r="E13" s="9" t="s">
        <v>45</v>
      </c>
      <c r="F13" s="9">
        <v>370</v>
      </c>
      <c r="G13" s="9" t="s">
        <v>18</v>
      </c>
      <c r="H13" s="9" t="s">
        <v>53</v>
      </c>
      <c r="I13" s="9" t="s">
        <v>18</v>
      </c>
      <c r="J13" s="10" t="s">
        <v>19</v>
      </c>
      <c r="K13" s="10" t="s">
        <v>89</v>
      </c>
      <c r="L13" s="2" cm="1">
        <f t="array" ref="L13">IF(G13="","",_xlfn.IFS(G13="small",1,G13="medium",4,G13="large",7,G13="very large",10))</f>
        <v>7</v>
      </c>
      <c r="M13" s="2" cm="1">
        <f t="array" ref="M13">IF(H13="","",_xlfn.IFS(H13="minor",1,H13="medium",4,H13="major",7,H13="critical",10))</f>
        <v>7</v>
      </c>
      <c r="N13" s="2" cm="1">
        <f t="array" ref="N13">IF(I13="","",_xlfn.IFS(I13="small",1,I13="medium",4,I13="large",7,I13="very large",10))</f>
        <v>7</v>
      </c>
      <c r="O13" s="2" cm="1">
        <f t="array" ref="O13">IF(J13="","",_xlfn.IFS(J13="small",1,J13="medium",4,J13="large",7,J13="very large",10))</f>
        <v>10</v>
      </c>
      <c r="P13" s="2">
        <f t="shared" si="0"/>
        <v>21</v>
      </c>
      <c r="Q13" s="8">
        <f t="shared" si="1"/>
        <v>2.1</v>
      </c>
      <c r="R13" s="11">
        <v>100</v>
      </c>
      <c r="S13" s="2">
        <f t="shared" si="2"/>
        <v>270</v>
      </c>
      <c r="T13" t="s">
        <v>57</v>
      </c>
    </row>
    <row r="14" spans="1:21" x14ac:dyDescent="0.55000000000000004">
      <c r="A14" s="3" t="s">
        <v>30</v>
      </c>
      <c r="B14" s="3" t="s">
        <v>5</v>
      </c>
      <c r="C14" s="9" t="s">
        <v>95</v>
      </c>
      <c r="D14" s="9" t="s">
        <v>100</v>
      </c>
      <c r="E14" s="9" t="s">
        <v>47</v>
      </c>
      <c r="F14" s="9">
        <v>480</v>
      </c>
      <c r="G14" s="9" t="s">
        <v>19</v>
      </c>
      <c r="H14" s="9" t="s">
        <v>17</v>
      </c>
      <c r="I14" s="9" t="s">
        <v>18</v>
      </c>
      <c r="J14" s="10" t="s">
        <v>17</v>
      </c>
      <c r="K14" s="10" t="s">
        <v>101</v>
      </c>
      <c r="L14" s="2" cm="1">
        <f t="array" ref="L14">IF(G14="","",_xlfn.IFS(G14="small",1,G14="medium",4,G14="large",7,G14="very large",10))</f>
        <v>10</v>
      </c>
      <c r="M14" s="2" cm="1">
        <f t="array" ref="M14">IF(H14="","",_xlfn.IFS(H14="minor",1,H14="medium",4,H14="major",7,H14="critical",10))</f>
        <v>4</v>
      </c>
      <c r="N14" s="2" cm="1">
        <f t="array" ref="N14">IF(I14="","",_xlfn.IFS(I14="small",1,I14="medium",4,I14="large",7,I14="very large",10))</f>
        <v>7</v>
      </c>
      <c r="O14" s="2" cm="1">
        <f t="array" ref="O14">IF(J14="","",_xlfn.IFS(J14="small",1,J14="medium",4,J14="large",7,J14="very large",10))</f>
        <v>4</v>
      </c>
      <c r="P14" s="2">
        <f t="shared" si="0"/>
        <v>21</v>
      </c>
      <c r="Q14" s="8">
        <f t="shared" si="1"/>
        <v>5.25</v>
      </c>
      <c r="R14" s="11">
        <v>120</v>
      </c>
      <c r="S14" s="2">
        <f t="shared" si="2"/>
        <v>360</v>
      </c>
      <c r="T14" t="s">
        <v>57</v>
      </c>
    </row>
    <row r="15" spans="1:21" x14ac:dyDescent="0.55000000000000004">
      <c r="A15" s="3" t="s">
        <v>30</v>
      </c>
      <c r="B15" s="3" t="s">
        <v>5</v>
      </c>
      <c r="C15" s="9" t="s">
        <v>74</v>
      </c>
      <c r="D15" s="9" t="s">
        <v>32</v>
      </c>
      <c r="E15" s="9" t="s">
        <v>49</v>
      </c>
      <c r="F15" s="9">
        <v>60</v>
      </c>
      <c r="G15" s="9" t="s">
        <v>16</v>
      </c>
      <c r="H15" s="9" t="s">
        <v>17</v>
      </c>
      <c r="I15" s="9" t="s">
        <v>17</v>
      </c>
      <c r="J15" s="10" t="s">
        <v>17</v>
      </c>
      <c r="K15" s="10" t="s">
        <v>58</v>
      </c>
      <c r="L15" s="2" cm="1">
        <f t="array" ref="L15">IF(G15="","",_xlfn.IFS(G15="small",1,G15="medium",4,G15="large",7,G15="very large",10))</f>
        <v>1</v>
      </c>
      <c r="M15" s="2" cm="1">
        <f t="array" ref="M15">IF(H15="","",_xlfn.IFS(H15="minor",1,H15="medium",4,H15="major",7,H15="critical",10))</f>
        <v>4</v>
      </c>
      <c r="N15" s="2" cm="1">
        <f t="array" ref="N15">IF(I15="","",_xlfn.IFS(I15="small",1,I15="medium",4,I15="large",7,I15="very large",10))</f>
        <v>4</v>
      </c>
      <c r="O15" s="2" cm="1">
        <f t="array" ref="O15">IF(J15="","",_xlfn.IFS(J15="small",1,J15="medium",4,J15="large",7,J15="very large",10))</f>
        <v>4</v>
      </c>
      <c r="P15" s="2">
        <f t="shared" si="0"/>
        <v>9</v>
      </c>
      <c r="Q15" s="8">
        <f t="shared" si="1"/>
        <v>2.25</v>
      </c>
      <c r="R15" s="11">
        <v>30</v>
      </c>
      <c r="S15" s="2">
        <f t="shared" si="2"/>
        <v>30</v>
      </c>
      <c r="T15" t="s">
        <v>57</v>
      </c>
    </row>
    <row r="16" spans="1:21" x14ac:dyDescent="0.55000000000000004">
      <c r="A16" s="3" t="s">
        <v>30</v>
      </c>
      <c r="B16" s="3" t="s">
        <v>5</v>
      </c>
      <c r="C16" s="9" t="s">
        <v>39</v>
      </c>
      <c r="D16" s="9" t="s">
        <v>32</v>
      </c>
      <c r="E16" s="9" t="s">
        <v>49</v>
      </c>
      <c r="F16" s="9">
        <v>120</v>
      </c>
      <c r="G16" s="9" t="s">
        <v>18</v>
      </c>
      <c r="H16" s="9" t="s">
        <v>17</v>
      </c>
      <c r="I16" s="9" t="s">
        <v>17</v>
      </c>
      <c r="J16" s="10" t="s">
        <v>17</v>
      </c>
      <c r="K16" s="10" t="s">
        <v>90</v>
      </c>
      <c r="L16" s="2" cm="1">
        <f t="array" ref="L16">IF(G16="","",_xlfn.IFS(G16="small",1,G16="medium",4,G16="large",7,G16="very large",10))</f>
        <v>7</v>
      </c>
      <c r="M16" s="2" cm="1">
        <f t="array" ref="M16">IF(H16="","",_xlfn.IFS(H16="minor",1,H16="medium",4,H16="major",7,H16="critical",10))</f>
        <v>4</v>
      </c>
      <c r="N16" s="2" cm="1">
        <f t="array" ref="N16">IF(I16="","",_xlfn.IFS(I16="small",1,I16="medium",4,I16="large",7,I16="very large",10))</f>
        <v>4</v>
      </c>
      <c r="O16" s="2" cm="1">
        <f t="array" ref="O16">IF(J16="","",_xlfn.IFS(J16="small",1,J16="medium",4,J16="large",7,J16="very large",10))</f>
        <v>4</v>
      </c>
      <c r="P16" s="2">
        <f t="shared" si="0"/>
        <v>15</v>
      </c>
      <c r="Q16" s="8">
        <f t="shared" si="1"/>
        <v>3.75</v>
      </c>
      <c r="R16" s="11">
        <v>5</v>
      </c>
      <c r="S16" s="2">
        <f t="shared" si="2"/>
        <v>115</v>
      </c>
      <c r="T16" t="s">
        <v>57</v>
      </c>
    </row>
    <row r="17" spans="1:20" x14ac:dyDescent="0.55000000000000004">
      <c r="A17" s="3" t="s">
        <v>30</v>
      </c>
      <c r="B17" s="3" t="s">
        <v>4</v>
      </c>
      <c r="C17" s="9" t="s">
        <v>79</v>
      </c>
      <c r="D17" s="9" t="s">
        <v>67</v>
      </c>
      <c r="E17" s="9" t="s">
        <v>47</v>
      </c>
      <c r="F17" s="9">
        <v>480</v>
      </c>
      <c r="G17" s="9" t="s">
        <v>19</v>
      </c>
      <c r="H17" s="9" t="s">
        <v>52</v>
      </c>
      <c r="I17" s="9" t="s">
        <v>19</v>
      </c>
      <c r="J17" s="10" t="s">
        <v>18</v>
      </c>
      <c r="K17" s="10" t="s">
        <v>58</v>
      </c>
      <c r="L17" s="2" cm="1">
        <f t="array" ref="L17">IF(G17="","",_xlfn.IFS(G17="small",1,G17="medium",4,G17="large",7,G17="very large",10))</f>
        <v>10</v>
      </c>
      <c r="M17" s="2" cm="1">
        <f t="array" ref="M17">IF(H17="","",_xlfn.IFS(H17="minor",1,H17="medium",4,H17="major",7,H17="critical",10))</f>
        <v>10</v>
      </c>
      <c r="N17" s="2" cm="1">
        <f t="array" ref="N17">IF(I17="","",_xlfn.IFS(I17="small",1,I17="medium",4,I17="large",7,I17="very large",10))</f>
        <v>10</v>
      </c>
      <c r="O17" s="2" cm="1">
        <f t="array" ref="O17">IF(J17="","",_xlfn.IFS(J17="small",1,J17="medium",4,J17="large",7,J17="very large",10))</f>
        <v>7</v>
      </c>
      <c r="P17" s="2">
        <f t="shared" si="0"/>
        <v>30</v>
      </c>
      <c r="Q17" s="8">
        <f t="shared" si="1"/>
        <v>4.2857142857142856</v>
      </c>
      <c r="R17" s="11">
        <v>90</v>
      </c>
      <c r="S17" s="2">
        <f t="shared" si="2"/>
        <v>390</v>
      </c>
      <c r="T17" t="s">
        <v>57</v>
      </c>
    </row>
    <row r="18" spans="1:20" x14ac:dyDescent="0.55000000000000004">
      <c r="A18" s="3" t="s">
        <v>30</v>
      </c>
      <c r="B18" s="3" t="s">
        <v>4</v>
      </c>
      <c r="C18" s="9" t="s">
        <v>34</v>
      </c>
      <c r="D18" s="9" t="s">
        <v>32</v>
      </c>
      <c r="E18" s="9" t="s">
        <v>46</v>
      </c>
      <c r="F18" s="9">
        <v>240</v>
      </c>
      <c r="G18" s="9" t="s">
        <v>19</v>
      </c>
      <c r="H18" s="9" t="s">
        <v>52</v>
      </c>
      <c r="I18" s="9" t="s">
        <v>17</v>
      </c>
      <c r="J18" s="10" t="s">
        <v>18</v>
      </c>
      <c r="K18" s="10" t="s">
        <v>91</v>
      </c>
      <c r="L18" s="2" cm="1">
        <f t="array" ref="L18">IF(G18="","",_xlfn.IFS(G18="small",1,G18="medium",4,G18="large",7,G18="very large",10))</f>
        <v>10</v>
      </c>
      <c r="M18" s="2" cm="1">
        <f t="array" ref="M18">IF(H18="","",_xlfn.IFS(H18="minor",1,H18="medium",4,H18="major",7,H18="critical",10))</f>
        <v>10</v>
      </c>
      <c r="N18" s="2" cm="1">
        <f t="array" ref="N18">IF(I18="","",_xlfn.IFS(I18="small",1,I18="medium",4,I18="large",7,I18="very large",10))</f>
        <v>4</v>
      </c>
      <c r="O18" s="2" cm="1">
        <f t="array" ref="O18">IF(J18="","",_xlfn.IFS(J18="small",1,J18="medium",4,J18="large",7,J18="very large",10))</f>
        <v>7</v>
      </c>
      <c r="P18" s="2">
        <f t="shared" si="0"/>
        <v>24</v>
      </c>
      <c r="Q18" s="8">
        <f t="shared" si="1"/>
        <v>3.4285714285714284</v>
      </c>
      <c r="R18" s="11">
        <v>120</v>
      </c>
      <c r="S18" s="2">
        <f t="shared" si="2"/>
        <v>120</v>
      </c>
      <c r="T18" t="s">
        <v>57</v>
      </c>
    </row>
    <row r="19" spans="1:20" x14ac:dyDescent="0.55000000000000004">
      <c r="A19" s="3" t="s">
        <v>30</v>
      </c>
      <c r="B19" s="3" t="s">
        <v>5</v>
      </c>
      <c r="C19" s="9" t="s">
        <v>38</v>
      </c>
      <c r="D19" s="9" t="s">
        <v>32</v>
      </c>
      <c r="E19" s="9" t="s">
        <v>49</v>
      </c>
      <c r="F19" s="9">
        <v>60</v>
      </c>
      <c r="G19" s="9" t="s">
        <v>18</v>
      </c>
      <c r="H19" s="9" t="s">
        <v>17</v>
      </c>
      <c r="I19" s="9" t="s">
        <v>17</v>
      </c>
      <c r="J19" s="10" t="s">
        <v>18</v>
      </c>
      <c r="K19" s="10" t="s">
        <v>58</v>
      </c>
      <c r="L19" s="2" cm="1">
        <f t="array" ref="L19">IF(G19="","",_xlfn.IFS(G19="small",1,G19="medium",4,G19="large",7,G19="very large",10))</f>
        <v>7</v>
      </c>
      <c r="M19" s="2" cm="1">
        <f t="array" ref="M19">IF(H19="","",_xlfn.IFS(H19="minor",1,H19="medium",4,H19="major",7,H19="critical",10))</f>
        <v>4</v>
      </c>
      <c r="N19" s="2" cm="1">
        <f t="array" ref="N19">IF(I19="","",_xlfn.IFS(I19="small",1,I19="medium",4,I19="large",7,I19="very large",10))</f>
        <v>4</v>
      </c>
      <c r="O19" s="2" cm="1">
        <f t="array" ref="O19">IF(J19="","",_xlfn.IFS(J19="small",1,J19="medium",4,J19="large",7,J19="very large",10))</f>
        <v>7</v>
      </c>
      <c r="P19" s="2">
        <f t="shared" si="0"/>
        <v>15</v>
      </c>
      <c r="Q19" s="8">
        <f t="shared" si="1"/>
        <v>2.1428571428571428</v>
      </c>
      <c r="R19" s="11">
        <v>30</v>
      </c>
      <c r="S19" s="2">
        <f t="shared" si="2"/>
        <v>30</v>
      </c>
      <c r="T19" t="s">
        <v>57</v>
      </c>
    </row>
    <row r="20" spans="1:20" x14ac:dyDescent="0.55000000000000004">
      <c r="A20" s="3" t="s">
        <v>30</v>
      </c>
      <c r="B20" s="3" t="s">
        <v>5</v>
      </c>
      <c r="C20" s="9" t="s">
        <v>37</v>
      </c>
      <c r="D20" s="9" t="s">
        <v>32</v>
      </c>
      <c r="E20" s="9" t="s">
        <v>75</v>
      </c>
      <c r="F20" s="9">
        <v>240</v>
      </c>
      <c r="G20" s="9" t="s">
        <v>18</v>
      </c>
      <c r="H20" s="9" t="s">
        <v>17</v>
      </c>
      <c r="I20" s="9" t="s">
        <v>17</v>
      </c>
      <c r="J20" s="10" t="s">
        <v>17</v>
      </c>
      <c r="K20" s="10" t="s">
        <v>109</v>
      </c>
      <c r="L20" s="2" cm="1">
        <f t="array" ref="L20">IF(G20="","",_xlfn.IFS(G20="small",1,G20="medium",4,G20="large",7,G20="very large",10))</f>
        <v>7</v>
      </c>
      <c r="M20" s="2" cm="1">
        <f t="array" ref="M20">IF(H20="","",_xlfn.IFS(H20="minor",1,H20="medium",4,H20="major",7,H20="critical",10))</f>
        <v>4</v>
      </c>
      <c r="N20" s="2" cm="1">
        <f t="array" ref="N20">IF(I20="","",_xlfn.IFS(I20="small",1,I20="medium",4,I20="large",7,I20="very large",10))</f>
        <v>4</v>
      </c>
      <c r="O20" s="2" cm="1">
        <f t="array" ref="O20">IF(J20="","",_xlfn.IFS(J20="small",1,J20="medium",4,J20="large",7,J20="very large",10))</f>
        <v>4</v>
      </c>
      <c r="P20" s="2">
        <f t="shared" si="0"/>
        <v>15</v>
      </c>
      <c r="Q20" s="8">
        <f t="shared" si="1"/>
        <v>3.75</v>
      </c>
      <c r="R20" s="11">
        <v>120</v>
      </c>
      <c r="S20" s="2">
        <f t="shared" si="2"/>
        <v>120</v>
      </c>
      <c r="T20" t="s">
        <v>57</v>
      </c>
    </row>
    <row r="21" spans="1:20" x14ac:dyDescent="0.55000000000000004">
      <c r="A21" s="3" t="s">
        <v>30</v>
      </c>
      <c r="B21" s="3" t="s">
        <v>5</v>
      </c>
      <c r="C21" s="9" t="s">
        <v>68</v>
      </c>
      <c r="D21" s="9" t="s">
        <v>32</v>
      </c>
      <c r="E21" s="9" t="s">
        <v>47</v>
      </c>
      <c r="F21" s="9">
        <v>240</v>
      </c>
      <c r="G21" s="9" t="s">
        <v>19</v>
      </c>
      <c r="H21" s="9" t="s">
        <v>52</v>
      </c>
      <c r="I21" s="9" t="s">
        <v>19</v>
      </c>
      <c r="J21" s="10" t="s">
        <v>18</v>
      </c>
      <c r="K21" s="10" t="s">
        <v>92</v>
      </c>
      <c r="L21" s="2" cm="1">
        <f t="array" ref="L21">IF(G21="","",_xlfn.IFS(G21="small",1,G21="medium",4,G21="large",7,G21="very large",10))</f>
        <v>10</v>
      </c>
      <c r="M21" s="2" cm="1">
        <f t="array" ref="M21">IF(H21="","",_xlfn.IFS(H21="minor",1,H21="medium",4,H21="major",7,H21="critical",10))</f>
        <v>10</v>
      </c>
      <c r="N21" s="2" cm="1">
        <f t="array" ref="N21">IF(I21="","",_xlfn.IFS(I21="small",1,I21="medium",4,I21="large",7,I21="very large",10))</f>
        <v>10</v>
      </c>
      <c r="O21" s="2" cm="1">
        <f t="array" ref="O21">IF(J21="","",_xlfn.IFS(J21="small",1,J21="medium",4,J21="large",7,J21="very large",10))</f>
        <v>7</v>
      </c>
      <c r="P21" s="2">
        <f t="shared" si="0"/>
        <v>30</v>
      </c>
      <c r="Q21" s="8">
        <f t="shared" si="1"/>
        <v>4.2857142857142856</v>
      </c>
      <c r="R21" s="11">
        <v>120</v>
      </c>
      <c r="S21" s="2">
        <f t="shared" si="2"/>
        <v>120</v>
      </c>
      <c r="T21" t="s">
        <v>57</v>
      </c>
    </row>
    <row r="22" spans="1:20" x14ac:dyDescent="0.55000000000000004">
      <c r="A22" s="3" t="s">
        <v>30</v>
      </c>
      <c r="B22" s="3" t="s">
        <v>4</v>
      </c>
      <c r="C22" s="9" t="s">
        <v>80</v>
      </c>
      <c r="D22" s="9" t="s">
        <v>67</v>
      </c>
      <c r="E22" s="9" t="s">
        <v>47</v>
      </c>
      <c r="F22" s="9">
        <v>480</v>
      </c>
      <c r="G22" s="9" t="s">
        <v>19</v>
      </c>
      <c r="H22" s="9" t="s">
        <v>52</v>
      </c>
      <c r="I22" s="9" t="s">
        <v>19</v>
      </c>
      <c r="J22" s="10" t="s">
        <v>19</v>
      </c>
      <c r="K22" s="10" t="s">
        <v>93</v>
      </c>
      <c r="L22" s="2" cm="1">
        <f t="array" ref="L22">IF(G22="","",_xlfn.IFS(G22="small",1,G22="medium",4,G22="large",7,G22="very large",10))</f>
        <v>10</v>
      </c>
      <c r="M22" s="2" cm="1">
        <f t="array" ref="M22">IF(H22="","",_xlfn.IFS(H22="minor",1,H22="medium",4,H22="major",7,H22="critical",10))</f>
        <v>10</v>
      </c>
      <c r="N22" s="2" cm="1">
        <f t="array" ref="N22">IF(I22="","",_xlfn.IFS(I22="small",1,I22="medium",4,I22="large",7,I22="very large",10))</f>
        <v>10</v>
      </c>
      <c r="O22" s="2" cm="1">
        <f t="array" ref="O22">IF(J22="","",_xlfn.IFS(J22="small",1,J22="medium",4,J22="large",7,J22="very large",10))</f>
        <v>10</v>
      </c>
      <c r="P22" s="2">
        <f t="shared" si="0"/>
        <v>30</v>
      </c>
      <c r="Q22" s="8">
        <f t="shared" si="1"/>
        <v>3</v>
      </c>
      <c r="R22" s="11">
        <v>60</v>
      </c>
      <c r="S22" s="2">
        <f t="shared" si="2"/>
        <v>420</v>
      </c>
      <c r="T22" t="s">
        <v>57</v>
      </c>
    </row>
    <row r="23" spans="1:20" x14ac:dyDescent="0.55000000000000004">
      <c r="A23" s="3" t="s">
        <v>30</v>
      </c>
      <c r="B23" s="3" t="s">
        <v>5</v>
      </c>
      <c r="C23" s="9" t="s">
        <v>69</v>
      </c>
      <c r="D23" s="9" t="s">
        <v>32</v>
      </c>
      <c r="E23" s="9" t="s">
        <v>48</v>
      </c>
      <c r="F23" s="9">
        <v>240</v>
      </c>
      <c r="G23" s="9" t="s">
        <v>19</v>
      </c>
      <c r="H23" s="9" t="s">
        <v>53</v>
      </c>
      <c r="I23" s="9" t="s">
        <v>19</v>
      </c>
      <c r="J23" s="10" t="s">
        <v>19</v>
      </c>
      <c r="K23" s="10" t="s">
        <v>94</v>
      </c>
      <c r="L23" s="2" cm="1">
        <f t="array" ref="L23">IF(G23="","",_xlfn.IFS(G23="small",1,G23="medium",4,G23="large",7,G23="very large",10))</f>
        <v>10</v>
      </c>
      <c r="M23" s="2" cm="1">
        <f t="array" ref="M23">IF(H23="","",_xlfn.IFS(H23="minor",1,H23="medium",4,H23="major",7,H23="critical",10))</f>
        <v>7</v>
      </c>
      <c r="N23" s="2" cm="1">
        <f t="array" ref="N23">IF(I23="","",_xlfn.IFS(I23="small",1,I23="medium",4,I23="large",7,I23="very large",10))</f>
        <v>10</v>
      </c>
      <c r="O23" s="2" cm="1">
        <f t="array" ref="O23">IF(J23="","",_xlfn.IFS(J23="small",1,J23="medium",4,J23="large",7,J23="very large",10))</f>
        <v>10</v>
      </c>
      <c r="P23" s="2">
        <f t="shared" si="0"/>
        <v>27</v>
      </c>
      <c r="Q23" s="8">
        <f t="shared" si="1"/>
        <v>2.7</v>
      </c>
      <c r="R23" s="11"/>
      <c r="S23" s="2" t="str">
        <f t="shared" si="2"/>
        <v/>
      </c>
      <c r="T23" s="2" t="s">
        <v>87</v>
      </c>
    </row>
    <row r="24" spans="1:20" x14ac:dyDescent="0.55000000000000004">
      <c r="A24" s="3" t="s">
        <v>30</v>
      </c>
      <c r="B24" s="3" t="s">
        <v>4</v>
      </c>
      <c r="C24" s="9" t="s">
        <v>62</v>
      </c>
      <c r="D24" s="9" t="s">
        <v>32</v>
      </c>
      <c r="E24" s="9" t="s">
        <v>45</v>
      </c>
      <c r="F24" s="9">
        <v>371</v>
      </c>
      <c r="G24" s="9" t="s">
        <v>16</v>
      </c>
      <c r="H24" s="9" t="s">
        <v>54</v>
      </c>
      <c r="I24" s="9" t="s">
        <v>16</v>
      </c>
      <c r="J24" s="10" t="s">
        <v>18</v>
      </c>
      <c r="K24" s="10" t="s">
        <v>86</v>
      </c>
      <c r="L24" s="2" cm="1">
        <f t="array" ref="L24">IF(G24="","",_xlfn.IFS(G24="small",1,G24="medium",4,G24="large",7,G24="very large",10))</f>
        <v>1</v>
      </c>
      <c r="M24" s="2" cm="1">
        <f t="array" ref="M24">IF(H24="","",_xlfn.IFS(H24="minor",1,H24="medium",4,H24="major",7,H24="critical",10))</f>
        <v>1</v>
      </c>
      <c r="N24" s="2" cm="1">
        <f t="array" ref="N24">IF(I24="","",_xlfn.IFS(I24="small",1,I24="medium",4,I24="large",7,I24="very large",10))</f>
        <v>1</v>
      </c>
      <c r="O24" s="2" cm="1">
        <f t="array" ref="O24">IF(J24="","",_xlfn.IFS(J24="small",1,J24="medium",4,J24="large",7,J24="very large",10))</f>
        <v>7</v>
      </c>
      <c r="P24" s="2">
        <f t="shared" ref="P24:P42" si="6">IF(L24="","",L24+M24+N24)</f>
        <v>3</v>
      </c>
      <c r="Q24" s="8">
        <f t="shared" ref="Q24:Q42" si="7">IF(P24="","",P24/O24)</f>
        <v>0.42857142857142855</v>
      </c>
      <c r="R24" s="11"/>
      <c r="S24" s="2" t="str">
        <f t="shared" ref="S24:S42" si="8">IF(R24="","",F24-R24)</f>
        <v/>
      </c>
      <c r="T24" s="2" t="s">
        <v>87</v>
      </c>
    </row>
    <row r="25" spans="1:20" x14ac:dyDescent="0.55000000000000004">
      <c r="A25" s="3" t="s">
        <v>30</v>
      </c>
      <c r="B25" s="3" t="s">
        <v>4</v>
      </c>
      <c r="C25" s="9" t="s">
        <v>105</v>
      </c>
      <c r="D25" s="9" t="s">
        <v>113</v>
      </c>
      <c r="E25" s="9" t="s">
        <v>47</v>
      </c>
      <c r="F25" s="9">
        <v>370</v>
      </c>
      <c r="G25" s="9" t="s">
        <v>18</v>
      </c>
      <c r="H25" s="9" t="s">
        <v>53</v>
      </c>
      <c r="I25" s="9" t="s">
        <v>18</v>
      </c>
      <c r="J25" s="10" t="s">
        <v>17</v>
      </c>
      <c r="K25" s="10" t="s">
        <v>106</v>
      </c>
      <c r="L25" s="2" cm="1">
        <f t="array" ref="L25">IF(G25="","",_xlfn.IFS(G25="small",1,G25="medium",4,G25="large",7,G25="very large",10))</f>
        <v>7</v>
      </c>
      <c r="M25" s="2" cm="1">
        <f t="array" ref="M25">IF(H25="","",_xlfn.IFS(H25="minor",1,H25="medium",4,H25="major",7,H25="critical",10))</f>
        <v>7</v>
      </c>
      <c r="N25" s="2" cm="1">
        <f t="array" ref="N25">IF(I25="","",_xlfn.IFS(I25="small",1,I25="medium",4,I25="large",7,I25="very large",10))</f>
        <v>7</v>
      </c>
      <c r="O25" s="2" cm="1">
        <f t="array" ref="O25">IF(J25="","",_xlfn.IFS(J25="small",1,J25="medium",4,J25="large",7,J25="very large",10))</f>
        <v>4</v>
      </c>
      <c r="P25" s="2">
        <f t="shared" si="6"/>
        <v>21</v>
      </c>
      <c r="Q25" s="8">
        <f t="shared" si="7"/>
        <v>5.25</v>
      </c>
      <c r="R25" s="11"/>
      <c r="S25" s="2" t="str">
        <f t="shared" si="8"/>
        <v/>
      </c>
      <c r="T25" s="2" t="s">
        <v>112</v>
      </c>
    </row>
    <row r="26" spans="1:20" x14ac:dyDescent="0.55000000000000004">
      <c r="A26" s="3" t="s">
        <v>30</v>
      </c>
      <c r="B26" s="3" t="s">
        <v>5</v>
      </c>
      <c r="C26" s="9" t="s">
        <v>107</v>
      </c>
      <c r="D26" s="9" t="s">
        <v>32</v>
      </c>
      <c r="E26" s="9" t="s">
        <v>47</v>
      </c>
      <c r="F26" s="9">
        <v>240</v>
      </c>
      <c r="G26" s="9" t="s">
        <v>19</v>
      </c>
      <c r="H26" s="9" t="s">
        <v>52</v>
      </c>
      <c r="I26" s="9" t="s">
        <v>19</v>
      </c>
      <c r="J26" s="10" t="s">
        <v>18</v>
      </c>
      <c r="K26" s="10" t="s">
        <v>108</v>
      </c>
      <c r="L26" s="2" cm="1">
        <f t="array" ref="L26">IF(G26="","",_xlfn.IFS(G26="small",1,G26="medium",4,G26="large",7,G26="very large",10))</f>
        <v>10</v>
      </c>
      <c r="M26" s="2" cm="1">
        <f t="array" ref="M26">IF(H26="","",_xlfn.IFS(H26="minor",1,H26="medium",4,H26="major",7,H26="critical",10))</f>
        <v>10</v>
      </c>
      <c r="N26" s="2" cm="1">
        <f t="array" ref="N26">IF(I26="","",_xlfn.IFS(I26="small",1,I26="medium",4,I26="large",7,I26="very large",10))</f>
        <v>10</v>
      </c>
      <c r="O26" s="2" cm="1">
        <f t="array" ref="O26">IF(J26="","",_xlfn.IFS(J26="small",1,J26="medium",4,J26="large",7,J26="very large",10))</f>
        <v>7</v>
      </c>
      <c r="P26" s="2">
        <f t="shared" si="6"/>
        <v>30</v>
      </c>
      <c r="Q26" s="8">
        <f t="shared" si="7"/>
        <v>4.2857142857142856</v>
      </c>
      <c r="R26" s="11">
        <v>120</v>
      </c>
      <c r="S26" s="2">
        <f t="shared" si="8"/>
        <v>120</v>
      </c>
      <c r="T26" t="s">
        <v>57</v>
      </c>
    </row>
    <row r="27" spans="1:20" x14ac:dyDescent="0.55000000000000004">
      <c r="A27" s="3" t="s">
        <v>30</v>
      </c>
      <c r="B27" s="3" t="s">
        <v>11</v>
      </c>
      <c r="C27" s="9" t="s">
        <v>115</v>
      </c>
      <c r="D27" s="9" t="s">
        <v>114</v>
      </c>
      <c r="E27" s="9" t="s">
        <v>66</v>
      </c>
      <c r="F27" s="9">
        <v>240</v>
      </c>
      <c r="G27" s="9" t="s">
        <v>19</v>
      </c>
      <c r="H27" s="9" t="s">
        <v>53</v>
      </c>
      <c r="I27" s="9" t="s">
        <v>19</v>
      </c>
      <c r="J27" s="10" t="s">
        <v>19</v>
      </c>
      <c r="K27" s="10" t="s">
        <v>58</v>
      </c>
      <c r="L27" s="2" cm="1">
        <f t="array" ref="L27">IF(G27="","",_xlfn.IFS(G27="small",1,G27="medium",4,G27="large",7,G27="very large",10))</f>
        <v>10</v>
      </c>
      <c r="M27" s="2" cm="1">
        <f t="array" ref="M27">IF(H27="","",_xlfn.IFS(H27="minor",1,H27="medium",4,H27="major",7,H27="critical",10))</f>
        <v>7</v>
      </c>
      <c r="N27" s="2" cm="1">
        <f t="array" ref="N27">IF(I27="","",_xlfn.IFS(I27="small",1,I27="medium",4,I27="large",7,I27="very large",10))</f>
        <v>10</v>
      </c>
      <c r="O27" s="2" cm="1">
        <f t="array" ref="O27">IF(J27="","",_xlfn.IFS(J27="small",1,J27="medium",4,J27="large",7,J27="very large",10))</f>
        <v>10</v>
      </c>
      <c r="P27" s="2">
        <f t="shared" si="6"/>
        <v>27</v>
      </c>
      <c r="Q27" s="8">
        <f t="shared" si="7"/>
        <v>2.7</v>
      </c>
      <c r="R27" s="11"/>
      <c r="S27" s="2" t="str">
        <f t="shared" si="8"/>
        <v/>
      </c>
      <c r="T27" t="s">
        <v>70</v>
      </c>
    </row>
    <row r="28" spans="1:20" x14ac:dyDescent="0.55000000000000004">
      <c r="A28" s="3"/>
      <c r="B28" s="3"/>
      <c r="C28" s="9"/>
      <c r="D28" s="9"/>
      <c r="E28" s="9"/>
      <c r="F28" s="9"/>
      <c r="G28" s="9"/>
      <c r="H28" s="9"/>
      <c r="I28" s="9"/>
      <c r="J28" s="10"/>
      <c r="K28" s="10"/>
      <c r="L28" s="2" t="str" cm="1">
        <f t="array" ref="L28">IF(G28="","",_xlfn.IFS(G28="small",1,G28="medium",4,G28="large",7,G28="very large",10))</f>
        <v/>
      </c>
      <c r="M28" s="2" t="str" cm="1">
        <f t="array" ref="M28">IF(H28="","",_xlfn.IFS(H28="minor",1,H28="medium",4,H28="major",7,H28="critical",10))</f>
        <v/>
      </c>
      <c r="N28" s="2" t="str" cm="1">
        <f t="array" ref="N28">IF(I28="","",_xlfn.IFS(I28="small",1,I28="medium",4,I28="large",7,I28="very large",10))</f>
        <v/>
      </c>
      <c r="O28" s="2" t="str" cm="1">
        <f t="array" ref="O28">IF(J28="","",_xlfn.IFS(J28="small",1,J28="medium",4,J28="large",7,J28="very large",10))</f>
        <v/>
      </c>
      <c r="P28" s="2" t="str">
        <f t="shared" si="6"/>
        <v/>
      </c>
      <c r="Q28" s="8" t="str">
        <f t="shared" si="7"/>
        <v/>
      </c>
      <c r="R28" s="11"/>
      <c r="S28" s="2" t="str">
        <f t="shared" si="8"/>
        <v/>
      </c>
    </row>
    <row r="29" spans="1:20" x14ac:dyDescent="0.55000000000000004">
      <c r="A29" s="3"/>
      <c r="B29" s="3"/>
      <c r="C29" s="9"/>
      <c r="D29" s="9"/>
      <c r="E29" s="9"/>
      <c r="F29" s="9"/>
      <c r="G29" s="9"/>
      <c r="H29" s="9"/>
      <c r="I29" s="9"/>
      <c r="J29" s="10"/>
      <c r="K29" s="10"/>
      <c r="L29" s="2" t="str" cm="1">
        <f t="array" ref="L29">IF(G29="","",_xlfn.IFS(G29="small",1,G29="medium",4,G29="large",7,G29="very large",10))</f>
        <v/>
      </c>
      <c r="M29" s="2" t="str" cm="1">
        <f t="array" ref="M29">IF(H29="","",_xlfn.IFS(H29="minor",1,H29="medium",4,H29="major",7,H29="critical",10))</f>
        <v/>
      </c>
      <c r="N29" s="2" t="str" cm="1">
        <f t="array" ref="N29">IF(I29="","",_xlfn.IFS(I29="small",1,I29="medium",4,I29="large",7,I29="very large",10))</f>
        <v/>
      </c>
      <c r="O29" s="2" t="str" cm="1">
        <f t="array" ref="O29">IF(J29="","",_xlfn.IFS(J29="small",1,J29="medium",4,J29="large",7,J29="very large",10))</f>
        <v/>
      </c>
      <c r="P29" s="2" t="str">
        <f t="shared" si="6"/>
        <v/>
      </c>
      <c r="Q29" s="8" t="str">
        <f t="shared" si="7"/>
        <v/>
      </c>
      <c r="R29" s="11"/>
      <c r="S29" s="2" t="str">
        <f t="shared" si="8"/>
        <v/>
      </c>
    </row>
    <row r="30" spans="1:20" x14ac:dyDescent="0.55000000000000004">
      <c r="A30" s="3"/>
      <c r="B30" s="3"/>
      <c r="C30" s="9"/>
      <c r="D30" s="9"/>
      <c r="E30" s="9"/>
      <c r="F30" s="9"/>
      <c r="G30" s="9"/>
      <c r="H30" s="9"/>
      <c r="I30" s="9"/>
      <c r="J30" s="10"/>
      <c r="K30" s="10"/>
      <c r="L30" s="2" t="str" cm="1">
        <f t="array" ref="L30">IF(G30="","",_xlfn.IFS(G30="small",1,G30="medium",4,G30="large",7,G30="very large",10))</f>
        <v/>
      </c>
      <c r="M30" s="2" t="str" cm="1">
        <f t="array" ref="M30">IF(H30="","",_xlfn.IFS(H30="minor",1,H30="medium",4,H30="major",7,H30="critical",10))</f>
        <v/>
      </c>
      <c r="N30" s="2" t="str" cm="1">
        <f t="array" ref="N30">IF(I30="","",_xlfn.IFS(I30="small",1,I30="medium",4,I30="large",7,I30="very large",10))</f>
        <v/>
      </c>
      <c r="O30" s="2" t="str" cm="1">
        <f t="array" ref="O30">IF(J30="","",_xlfn.IFS(J30="small",1,J30="medium",4,J30="large",7,J30="very large",10))</f>
        <v/>
      </c>
      <c r="P30" s="2" t="str">
        <f t="shared" si="6"/>
        <v/>
      </c>
      <c r="Q30" s="8" t="str">
        <f t="shared" si="7"/>
        <v/>
      </c>
      <c r="R30" s="11"/>
      <c r="S30" s="2" t="str">
        <f t="shared" si="8"/>
        <v/>
      </c>
    </row>
    <row r="31" spans="1:20" x14ac:dyDescent="0.55000000000000004">
      <c r="A31" s="3"/>
      <c r="B31" s="3"/>
      <c r="C31" s="9"/>
      <c r="D31" s="9"/>
      <c r="E31" s="9"/>
      <c r="F31" s="9"/>
      <c r="G31" s="9"/>
      <c r="H31" s="9"/>
      <c r="I31" s="9"/>
      <c r="J31" s="10"/>
      <c r="K31" s="10"/>
      <c r="L31" s="2" t="str" cm="1">
        <f t="array" ref="L31">IF(G31="","",_xlfn.IFS(G31="small",1,G31="medium",4,G31="large",7,G31="very large",10))</f>
        <v/>
      </c>
      <c r="M31" s="2" t="str" cm="1">
        <f t="array" ref="M31">IF(H31="","",_xlfn.IFS(H31="minor",1,H31="medium",4,H31="major",7,H31="critical",10))</f>
        <v/>
      </c>
      <c r="N31" s="2" t="str" cm="1">
        <f t="array" ref="N31">IF(I31="","",_xlfn.IFS(I31="small",1,I31="medium",4,I31="large",7,I31="very large",10))</f>
        <v/>
      </c>
      <c r="O31" s="2" t="str" cm="1">
        <f t="array" ref="O31">IF(J31="","",_xlfn.IFS(J31="small",1,J31="medium",4,J31="large",7,J31="very large",10))</f>
        <v/>
      </c>
      <c r="P31" s="2" t="str">
        <f t="shared" si="6"/>
        <v/>
      </c>
      <c r="Q31" s="8" t="str">
        <f t="shared" si="7"/>
        <v/>
      </c>
      <c r="R31" s="11"/>
      <c r="S31" s="2" t="str">
        <f t="shared" si="8"/>
        <v/>
      </c>
    </row>
    <row r="32" spans="1:20" x14ac:dyDescent="0.55000000000000004">
      <c r="A32" s="3"/>
      <c r="B32" s="3"/>
      <c r="C32" s="9"/>
      <c r="D32" s="9"/>
      <c r="E32" s="9"/>
      <c r="F32" s="9"/>
      <c r="G32" s="9"/>
      <c r="H32" s="9"/>
      <c r="I32" s="9"/>
      <c r="J32" s="10"/>
      <c r="K32" s="10"/>
      <c r="L32" s="2" t="str" cm="1">
        <f t="array" ref="L32">IF(G32="","",_xlfn.IFS(G32="small",1,G32="medium",4,G32="large",7,G32="very large",10))</f>
        <v/>
      </c>
      <c r="M32" s="2" t="str" cm="1">
        <f t="array" ref="M32">IF(H32="","",_xlfn.IFS(H32="minor",1,H32="medium",4,H32="major",7,H32="critical",10))</f>
        <v/>
      </c>
      <c r="N32" s="2" t="str" cm="1">
        <f t="array" ref="N32">IF(I32="","",_xlfn.IFS(I32="small",1,I32="medium",4,I32="large",7,I32="very large",10))</f>
        <v/>
      </c>
      <c r="O32" s="2" t="str" cm="1">
        <f t="array" ref="O32">IF(J32="","",_xlfn.IFS(J32="small",1,J32="medium",4,J32="large",7,J32="very large",10))</f>
        <v/>
      </c>
      <c r="P32" s="2" t="str">
        <f t="shared" si="6"/>
        <v/>
      </c>
      <c r="Q32" s="8" t="str">
        <f t="shared" si="7"/>
        <v/>
      </c>
      <c r="R32" s="11"/>
      <c r="S32" s="2" t="str">
        <f t="shared" si="8"/>
        <v/>
      </c>
    </row>
    <row r="33" spans="1:19" x14ac:dyDescent="0.55000000000000004">
      <c r="A33" s="3"/>
      <c r="B33" s="3"/>
      <c r="C33" s="9"/>
      <c r="D33" s="9"/>
      <c r="E33" s="9"/>
      <c r="F33" s="9"/>
      <c r="G33" s="9"/>
      <c r="H33" s="9"/>
      <c r="I33" s="9"/>
      <c r="J33" s="10"/>
      <c r="K33" s="10"/>
      <c r="L33" s="2" t="str" cm="1">
        <f t="array" ref="L33">IF(G33="","",_xlfn.IFS(G33="small",1,G33="medium",4,G33="large",7,G33="very large",10))</f>
        <v/>
      </c>
      <c r="M33" s="2" t="str" cm="1">
        <f t="array" ref="M33">IF(H33="","",_xlfn.IFS(H33="minor",1,H33="medium",4,H33="major",7,H33="critical",10))</f>
        <v/>
      </c>
      <c r="N33" s="2" t="str" cm="1">
        <f t="array" ref="N33">IF(I33="","",_xlfn.IFS(I33="small",1,I33="medium",4,I33="large",7,I33="very large",10))</f>
        <v/>
      </c>
      <c r="O33" s="2" t="str" cm="1">
        <f t="array" ref="O33">IF(J33="","",_xlfn.IFS(J33="small",1,J33="medium",4,J33="large",7,J33="very large",10))</f>
        <v/>
      </c>
      <c r="P33" s="2" t="str">
        <f t="shared" si="6"/>
        <v/>
      </c>
      <c r="Q33" s="8" t="str">
        <f t="shared" si="7"/>
        <v/>
      </c>
      <c r="R33" s="11"/>
      <c r="S33" s="2" t="str">
        <f t="shared" si="8"/>
        <v/>
      </c>
    </row>
    <row r="34" spans="1:19" x14ac:dyDescent="0.55000000000000004">
      <c r="A34" s="3"/>
      <c r="B34" s="3"/>
      <c r="C34" s="9"/>
      <c r="D34" s="9"/>
      <c r="E34" s="9"/>
      <c r="F34" s="9"/>
      <c r="G34" s="9"/>
      <c r="H34" s="9"/>
      <c r="I34" s="9"/>
      <c r="J34" s="10"/>
      <c r="K34" s="10"/>
      <c r="L34" s="2" t="str" cm="1">
        <f t="array" ref="L34">IF(G34="","",_xlfn.IFS(G34="small",1,G34="medium",4,G34="large",7,G34="very large",10))</f>
        <v/>
      </c>
      <c r="M34" s="2" t="str" cm="1">
        <f t="array" ref="M34">IF(H34="","",_xlfn.IFS(H34="minor",1,H34="medium",4,H34="major",7,H34="critical",10))</f>
        <v/>
      </c>
      <c r="N34" s="2" t="str" cm="1">
        <f t="array" ref="N34">IF(I34="","",_xlfn.IFS(I34="small",1,I34="medium",4,I34="large",7,I34="very large",10))</f>
        <v/>
      </c>
      <c r="O34" s="2" t="str" cm="1">
        <f t="array" ref="O34">IF(J34="","",_xlfn.IFS(J34="small",1,J34="medium",4,J34="large",7,J34="very large",10))</f>
        <v/>
      </c>
      <c r="P34" s="2" t="str">
        <f t="shared" si="6"/>
        <v/>
      </c>
      <c r="Q34" s="8" t="str">
        <f t="shared" si="7"/>
        <v/>
      </c>
      <c r="R34" s="11"/>
      <c r="S34" s="2" t="str">
        <f t="shared" si="8"/>
        <v/>
      </c>
    </row>
    <row r="35" spans="1:19" x14ac:dyDescent="0.55000000000000004">
      <c r="A35" s="3"/>
      <c r="B35" s="3"/>
      <c r="C35" s="9"/>
      <c r="D35" s="9"/>
      <c r="E35" s="9"/>
      <c r="F35" s="9"/>
      <c r="G35" s="9"/>
      <c r="H35" s="9"/>
      <c r="I35" s="9"/>
      <c r="J35" s="10"/>
      <c r="K35" s="10"/>
      <c r="L35" s="2" t="str" cm="1">
        <f t="array" ref="L35">IF(G35="","",_xlfn.IFS(G35="small",1,G35="medium",4,G35="large",7,G35="very large",10))</f>
        <v/>
      </c>
      <c r="M35" s="2" t="str" cm="1">
        <f t="array" ref="M35">IF(H35="","",_xlfn.IFS(H35="minor",1,H35="medium",4,H35="major",7,H35="critical",10))</f>
        <v/>
      </c>
      <c r="N35" s="2" t="str" cm="1">
        <f t="array" ref="N35">IF(I35="","",_xlfn.IFS(I35="small",1,I35="medium",4,I35="large",7,I35="very large",10))</f>
        <v/>
      </c>
      <c r="O35" s="2" t="str" cm="1">
        <f t="array" ref="O35">IF(J35="","",_xlfn.IFS(J35="small",1,J35="medium",4,J35="large",7,J35="very large",10))</f>
        <v/>
      </c>
      <c r="P35" s="2" t="str">
        <f t="shared" si="6"/>
        <v/>
      </c>
      <c r="Q35" s="8" t="str">
        <f t="shared" si="7"/>
        <v/>
      </c>
      <c r="R35" s="11"/>
      <c r="S35" s="2" t="str">
        <f t="shared" si="8"/>
        <v/>
      </c>
    </row>
    <row r="36" spans="1:19" x14ac:dyDescent="0.55000000000000004">
      <c r="A36" s="3"/>
      <c r="B36" s="3"/>
      <c r="C36" s="9"/>
      <c r="D36" s="9"/>
      <c r="E36" s="9"/>
      <c r="F36" s="9"/>
      <c r="G36" s="9"/>
      <c r="H36" s="9"/>
      <c r="I36" s="9"/>
      <c r="J36" s="10"/>
      <c r="K36" s="10"/>
      <c r="L36" s="2" t="str" cm="1">
        <f t="array" ref="L36">IF(G36="","",_xlfn.IFS(G36="small",1,G36="medium",4,G36="large",7,G36="very large",10))</f>
        <v/>
      </c>
      <c r="M36" s="2" t="str" cm="1">
        <f t="array" ref="M36">IF(H36="","",_xlfn.IFS(H36="minor",1,H36="medium",4,H36="major",7,H36="critical",10))</f>
        <v/>
      </c>
      <c r="N36" s="2" t="str" cm="1">
        <f t="array" ref="N36">IF(I36="","",_xlfn.IFS(I36="small",1,I36="medium",4,I36="large",7,I36="very large",10))</f>
        <v/>
      </c>
      <c r="O36" s="2" t="str" cm="1">
        <f t="array" ref="O36">IF(J36="","",_xlfn.IFS(J36="small",1,J36="medium",4,J36="large",7,J36="very large",10))</f>
        <v/>
      </c>
      <c r="P36" s="2" t="str">
        <f t="shared" si="6"/>
        <v/>
      </c>
      <c r="Q36" s="8" t="str">
        <f t="shared" si="7"/>
        <v/>
      </c>
      <c r="R36" s="11"/>
      <c r="S36" s="2" t="str">
        <f t="shared" si="8"/>
        <v/>
      </c>
    </row>
    <row r="37" spans="1:19" x14ac:dyDescent="0.55000000000000004">
      <c r="A37" s="3"/>
      <c r="B37" s="3"/>
      <c r="C37" s="9"/>
      <c r="D37" s="9"/>
      <c r="E37" s="9"/>
      <c r="F37" s="9"/>
      <c r="G37" s="9"/>
      <c r="H37" s="9"/>
      <c r="I37" s="9"/>
      <c r="J37" s="10"/>
      <c r="K37" s="10"/>
      <c r="L37" s="2" t="str" cm="1">
        <f t="array" ref="L37">IF(G37="","",_xlfn.IFS(G37="small",1,G37="medium",4,G37="large",7,G37="very large",10))</f>
        <v/>
      </c>
      <c r="M37" s="2" t="str" cm="1">
        <f t="array" ref="M37">IF(H37="","",_xlfn.IFS(H37="minor",1,H37="medium",4,H37="major",7,H37="critical",10))</f>
        <v/>
      </c>
      <c r="N37" s="2" t="str" cm="1">
        <f t="array" ref="N37">IF(I37="","",_xlfn.IFS(I37="small",1,I37="medium",4,I37="large",7,I37="very large",10))</f>
        <v/>
      </c>
      <c r="O37" s="2" t="str" cm="1">
        <f t="array" ref="O37">IF(J37="","",_xlfn.IFS(J37="small",1,J37="medium",4,J37="large",7,J37="very large",10))</f>
        <v/>
      </c>
      <c r="P37" s="2" t="str">
        <f t="shared" si="6"/>
        <v/>
      </c>
      <c r="Q37" s="8" t="str">
        <f t="shared" si="7"/>
        <v/>
      </c>
      <c r="R37" s="11"/>
      <c r="S37" s="2" t="str">
        <f t="shared" si="8"/>
        <v/>
      </c>
    </row>
    <row r="38" spans="1:19" x14ac:dyDescent="0.55000000000000004">
      <c r="A38" s="3"/>
      <c r="B38" s="3"/>
      <c r="C38" s="9"/>
      <c r="D38" s="9"/>
      <c r="E38" s="9"/>
      <c r="F38" s="9"/>
      <c r="G38" s="9"/>
      <c r="H38" s="9"/>
      <c r="I38" s="9"/>
      <c r="J38" s="10"/>
      <c r="K38" s="10"/>
      <c r="L38" s="2" t="str" cm="1">
        <f t="array" ref="L38">IF(G38="","",_xlfn.IFS(G38="small",1,G38="medium",4,G38="large",7,G38="very large",10))</f>
        <v/>
      </c>
      <c r="M38" s="2" t="str" cm="1">
        <f t="array" ref="M38">IF(H38="","",_xlfn.IFS(H38="minor",1,H38="medium",4,H38="major",7,H38="critical",10))</f>
        <v/>
      </c>
      <c r="N38" s="2" t="str" cm="1">
        <f t="array" ref="N38">IF(I38="","",_xlfn.IFS(I38="small",1,I38="medium",4,I38="large",7,I38="very large",10))</f>
        <v/>
      </c>
      <c r="O38" s="2" t="str" cm="1">
        <f t="array" ref="O38">IF(J38="","",_xlfn.IFS(J38="small",1,J38="medium",4,J38="large",7,J38="very large",10))</f>
        <v/>
      </c>
      <c r="P38" s="2" t="str">
        <f t="shared" si="6"/>
        <v/>
      </c>
      <c r="Q38" s="8" t="str">
        <f t="shared" si="7"/>
        <v/>
      </c>
      <c r="R38" s="11"/>
      <c r="S38" s="2" t="str">
        <f t="shared" si="8"/>
        <v/>
      </c>
    </row>
    <row r="39" spans="1:19" x14ac:dyDescent="0.55000000000000004">
      <c r="A39" s="3"/>
      <c r="B39" s="3"/>
      <c r="C39" s="9"/>
      <c r="D39" s="9"/>
      <c r="E39" s="9"/>
      <c r="F39" s="9"/>
      <c r="G39" s="9"/>
      <c r="H39" s="9"/>
      <c r="I39" s="9"/>
      <c r="J39" s="10"/>
      <c r="K39" s="10"/>
      <c r="L39" s="2" t="str" cm="1">
        <f t="array" ref="L39">IF(G39="","",_xlfn.IFS(G39="small",1,G39="medium",4,G39="large",7,G39="very large",10))</f>
        <v/>
      </c>
      <c r="M39" s="2" t="str" cm="1">
        <f t="array" ref="M39">IF(H39="","",_xlfn.IFS(H39="minor",1,H39="medium",4,H39="major",7,H39="critical",10))</f>
        <v/>
      </c>
      <c r="N39" s="2" t="str" cm="1">
        <f t="array" ref="N39">IF(I39="","",_xlfn.IFS(I39="small",1,I39="medium",4,I39="large",7,I39="very large",10))</f>
        <v/>
      </c>
      <c r="O39" s="2" t="str" cm="1">
        <f t="array" ref="O39">IF(J39="","",_xlfn.IFS(J39="small",1,J39="medium",4,J39="large",7,J39="very large",10))</f>
        <v/>
      </c>
      <c r="P39" s="2" t="str">
        <f t="shared" si="6"/>
        <v/>
      </c>
      <c r="Q39" s="8" t="str">
        <f t="shared" si="7"/>
        <v/>
      </c>
      <c r="R39" s="11"/>
      <c r="S39" s="2" t="str">
        <f t="shared" si="8"/>
        <v/>
      </c>
    </row>
    <row r="40" spans="1:19" x14ac:dyDescent="0.55000000000000004">
      <c r="A40" s="3"/>
      <c r="B40" s="3"/>
      <c r="C40" s="9"/>
      <c r="D40" s="9"/>
      <c r="E40" s="9"/>
      <c r="F40" s="9"/>
      <c r="G40" s="9"/>
      <c r="H40" s="9"/>
      <c r="I40" s="9"/>
      <c r="J40" s="10"/>
      <c r="K40" s="10"/>
      <c r="L40" s="2" t="str" cm="1">
        <f t="array" ref="L40">IF(G40="","",_xlfn.IFS(G40="small",1,G40="medium",4,G40="large",7,G40="very large",10))</f>
        <v/>
      </c>
      <c r="M40" s="2" t="str" cm="1">
        <f t="array" ref="M40">IF(H40="","",_xlfn.IFS(H40="minor",1,H40="medium",4,H40="major",7,H40="critical",10))</f>
        <v/>
      </c>
      <c r="N40" s="2" t="str" cm="1">
        <f t="array" ref="N40">IF(I40="","",_xlfn.IFS(I40="small",1,I40="medium",4,I40="large",7,I40="very large",10))</f>
        <v/>
      </c>
      <c r="O40" s="2" t="str" cm="1">
        <f t="array" ref="O40">IF(J40="","",_xlfn.IFS(J40="small",1,J40="medium",4,J40="large",7,J40="very large",10))</f>
        <v/>
      </c>
      <c r="P40" s="2" t="str">
        <f t="shared" si="6"/>
        <v/>
      </c>
      <c r="Q40" s="8" t="str">
        <f t="shared" si="7"/>
        <v/>
      </c>
      <c r="R40" s="11"/>
      <c r="S40" s="2" t="str">
        <f t="shared" si="8"/>
        <v/>
      </c>
    </row>
    <row r="41" spans="1:19" x14ac:dyDescent="0.55000000000000004">
      <c r="A41" s="3"/>
      <c r="B41" s="3"/>
      <c r="C41" s="9"/>
      <c r="D41" s="9"/>
      <c r="E41" s="9"/>
      <c r="F41" s="9"/>
      <c r="G41" s="9"/>
      <c r="H41" s="9"/>
      <c r="I41" s="9"/>
      <c r="J41" s="10"/>
      <c r="K41" s="10"/>
      <c r="L41" s="2" t="str" cm="1">
        <f t="array" ref="L41">IF(G41="","",_xlfn.IFS(G41="small",1,G41="medium",4,G41="large",7,G41="very large",10))</f>
        <v/>
      </c>
      <c r="M41" s="2" t="str" cm="1">
        <f t="array" ref="M41">IF(H41="","",_xlfn.IFS(H41="minor",1,H41="medium",4,H41="major",7,H41="critical",10))</f>
        <v/>
      </c>
      <c r="N41" s="2" t="str" cm="1">
        <f t="array" ref="N41">IF(I41="","",_xlfn.IFS(I41="small",1,I41="medium",4,I41="large",7,I41="very large",10))</f>
        <v/>
      </c>
      <c r="O41" s="2" t="str" cm="1">
        <f t="array" ref="O41">IF(J41="","",_xlfn.IFS(J41="small",1,J41="medium",4,J41="large",7,J41="very large",10))</f>
        <v/>
      </c>
      <c r="P41" s="2" t="str">
        <f t="shared" si="6"/>
        <v/>
      </c>
      <c r="Q41" s="8" t="str">
        <f t="shared" si="7"/>
        <v/>
      </c>
      <c r="R41" s="11"/>
      <c r="S41" s="2" t="str">
        <f t="shared" si="8"/>
        <v/>
      </c>
    </row>
    <row r="42" spans="1:19" x14ac:dyDescent="0.55000000000000004">
      <c r="A42" s="3"/>
      <c r="B42" s="3"/>
      <c r="C42" s="9"/>
      <c r="D42" s="9"/>
      <c r="E42" s="9"/>
      <c r="F42" s="9"/>
      <c r="G42" s="9"/>
      <c r="H42" s="9"/>
      <c r="I42" s="9"/>
      <c r="J42" s="10"/>
      <c r="K42" s="10"/>
      <c r="L42" s="2" t="str" cm="1">
        <f t="array" ref="L42">IF(G42="","",_xlfn.IFS(G42="small",1,G42="medium",4,G42="large",7,G42="very large",10))</f>
        <v/>
      </c>
      <c r="M42" s="2" t="str" cm="1">
        <f t="array" ref="M42">IF(H42="","",_xlfn.IFS(H42="minor",1,H42="medium",4,H42="major",7,H42="critical",10))</f>
        <v/>
      </c>
      <c r="N42" s="2" t="str" cm="1">
        <f t="array" ref="N42">IF(I42="","",_xlfn.IFS(I42="small",1,I42="medium",4,I42="large",7,I42="very large",10))</f>
        <v/>
      </c>
      <c r="O42" s="2" t="str" cm="1">
        <f t="array" ref="O42">IF(J42="","",_xlfn.IFS(J42="small",1,J42="medium",4,J42="large",7,J42="very large",10))</f>
        <v/>
      </c>
      <c r="P42" s="2" t="str">
        <f t="shared" si="6"/>
        <v/>
      </c>
      <c r="Q42" s="8" t="str">
        <f t="shared" si="7"/>
        <v/>
      </c>
      <c r="R42" s="11"/>
      <c r="S42" s="2" t="str">
        <f t="shared" si="8"/>
        <v/>
      </c>
    </row>
  </sheetData>
  <conditionalFormatting sqref="Q1:Q1048576">
    <cfRule type="colorScale" priority="5">
      <colorScale>
        <cfvo type="min"/>
        <cfvo type="percentile" val="50"/>
        <cfvo type="max"/>
        <color rgb="FFF8696B"/>
        <color rgb="FFFFEB84"/>
        <color rgb="FF63BE7B"/>
      </colorScale>
    </cfRule>
  </conditionalFormatting>
  <conditionalFormatting sqref="T1:T1048576">
    <cfRule type="cellIs" dxfId="3" priority="1" operator="equal">
      <formula>"in testing"</formula>
    </cfRule>
  </conditionalFormatting>
  <conditionalFormatting sqref="T2:T42">
    <cfRule type="cellIs" dxfId="2" priority="2" operator="equal">
      <formula>"approved"</formula>
    </cfRule>
    <cfRule type="cellIs" dxfId="1" priority="3" operator="equal">
      <formula>"in review"</formula>
    </cfRule>
    <cfRule type="cellIs" dxfId="0" priority="4" operator="equal">
      <formula>"in progress"</formula>
    </cfRule>
  </conditionalFormatting>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7">
        <x14:dataValidation type="list" allowBlank="1" showInputMessage="1" showErrorMessage="1" xr:uid="{2551427B-685A-4056-A6AD-1F3B9218BDD0}">
          <x14:formula1>
            <xm:f>Definition!$A$2:$A$5</xm:f>
          </x14:formula1>
          <xm:sqref>A2:A42</xm:sqref>
        </x14:dataValidation>
        <x14:dataValidation type="list" allowBlank="1" showInputMessage="1" showErrorMessage="1" xr:uid="{A481AB17-5A56-4B39-B2F8-B26F9A991E33}">
          <x14:formula1>
            <xm:f>Definition!$B$2:$B$12</xm:f>
          </x14:formula1>
          <xm:sqref>B2:B42</xm:sqref>
        </x14:dataValidation>
        <x14:dataValidation type="list" allowBlank="1" showInputMessage="1" showErrorMessage="1" xr:uid="{2F681127-88AC-42E2-822F-401E360F6B2C}">
          <x14:formula1>
            <xm:f>Definition!$F$2:$F$6</xm:f>
          </x14:formula1>
          <xm:sqref>J2:J41</xm:sqref>
        </x14:dataValidation>
        <x14:dataValidation type="list" allowBlank="1" showInputMessage="1" showErrorMessage="1" xr:uid="{409FA01C-DD71-472D-A3ED-EDC59D7CC9A2}">
          <x14:formula1>
            <xm:f>Definition!$C$2:$C$6</xm:f>
          </x14:formula1>
          <xm:sqref>G2:G42</xm:sqref>
        </x14:dataValidation>
        <x14:dataValidation type="list" allowBlank="1" showInputMessage="1" showErrorMessage="1" xr:uid="{B4680D2E-067F-48B4-B203-BE24FB948E51}">
          <x14:formula1>
            <xm:f>Definition!$D$2:$D$6</xm:f>
          </x14:formula1>
          <xm:sqref>H2:H42</xm:sqref>
        </x14:dataValidation>
        <x14:dataValidation type="list" allowBlank="1" showInputMessage="1" showErrorMessage="1" xr:uid="{2CA9C945-A39B-42C1-BED3-06F6ADA29D54}">
          <x14:formula1>
            <xm:f>Definition!$E$2:$E$6</xm:f>
          </x14:formula1>
          <xm:sqref>I2:I42</xm:sqref>
        </x14:dataValidation>
        <x14:dataValidation type="list" allowBlank="1" showInputMessage="1" showErrorMessage="1" xr:uid="{DE28FA14-1FAF-4C9E-BF8E-E51B8100F0DC}">
          <x14:formula1>
            <xm:f>Definition!$G$2:$G$9</xm:f>
          </x14:formula1>
          <xm:sqref>T2:T42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738D6-6912-4702-A469-0B4ED26B52D0}">
  <sheetPr>
    <tabColor theme="0" tint="-0.14999847407452621"/>
  </sheetPr>
  <dimension ref="A1:G12"/>
  <sheetViews>
    <sheetView topLeftCell="C2" zoomScale="130" zoomScaleNormal="130" workbookViewId="0">
      <selection activeCell="G14" sqref="G14"/>
    </sheetView>
  </sheetViews>
  <sheetFormatPr defaultRowHeight="14.4" x14ac:dyDescent="0.55000000000000004"/>
  <cols>
    <col min="1" max="1" width="11.68359375" bestFit="1" customWidth="1"/>
    <col min="2" max="2" width="27.26171875" bestFit="1" customWidth="1"/>
    <col min="3" max="5" width="14.578125" customWidth="1"/>
    <col min="6" max="6" width="9.68359375" bestFit="1" customWidth="1"/>
    <col min="7" max="8" width="15.15625" bestFit="1" customWidth="1"/>
  </cols>
  <sheetData>
    <row r="1" spans="1:7" x14ac:dyDescent="0.55000000000000004">
      <c r="A1" s="4" t="s">
        <v>8</v>
      </c>
      <c r="B1" s="4" t="s">
        <v>0</v>
      </c>
      <c r="C1" s="2" t="s">
        <v>24</v>
      </c>
      <c r="D1" s="2" t="s">
        <v>25</v>
      </c>
      <c r="E1" s="2" t="s">
        <v>27</v>
      </c>
      <c r="F1" s="2" t="s">
        <v>3</v>
      </c>
      <c r="G1" s="2" t="s">
        <v>56</v>
      </c>
    </row>
    <row r="2" spans="1:7" x14ac:dyDescent="0.55000000000000004">
      <c r="A2" t="s">
        <v>28</v>
      </c>
      <c r="B2" t="s">
        <v>12</v>
      </c>
      <c r="C2" t="s">
        <v>16</v>
      </c>
      <c r="D2" t="s">
        <v>54</v>
      </c>
      <c r="E2" t="s">
        <v>16</v>
      </c>
      <c r="F2" t="s">
        <v>16</v>
      </c>
      <c r="G2" t="s">
        <v>71</v>
      </c>
    </row>
    <row r="3" spans="1:7" x14ac:dyDescent="0.55000000000000004">
      <c r="A3" t="s">
        <v>29</v>
      </c>
      <c r="B3" t="s">
        <v>14</v>
      </c>
      <c r="C3" t="s">
        <v>17</v>
      </c>
      <c r="D3" t="s">
        <v>17</v>
      </c>
      <c r="E3" t="s">
        <v>17</v>
      </c>
      <c r="F3" t="s">
        <v>17</v>
      </c>
      <c r="G3" t="s">
        <v>72</v>
      </c>
    </row>
    <row r="4" spans="1:7" x14ac:dyDescent="0.55000000000000004">
      <c r="A4" t="s">
        <v>30</v>
      </c>
      <c r="B4" t="s">
        <v>15</v>
      </c>
      <c r="C4" t="s">
        <v>18</v>
      </c>
      <c r="D4" t="s">
        <v>53</v>
      </c>
      <c r="E4" t="s">
        <v>18</v>
      </c>
      <c r="F4" t="s">
        <v>18</v>
      </c>
      <c r="G4" t="s">
        <v>73</v>
      </c>
    </row>
    <row r="5" spans="1:7" x14ac:dyDescent="0.55000000000000004">
      <c r="A5" t="s">
        <v>63</v>
      </c>
      <c r="B5" t="s">
        <v>4</v>
      </c>
      <c r="C5" t="s">
        <v>19</v>
      </c>
      <c r="D5" t="s">
        <v>52</v>
      </c>
      <c r="E5" t="s">
        <v>19</v>
      </c>
      <c r="F5" t="s">
        <v>19</v>
      </c>
      <c r="G5" t="s">
        <v>70</v>
      </c>
    </row>
    <row r="6" spans="1:7" x14ac:dyDescent="0.55000000000000004">
      <c r="B6" t="s">
        <v>5</v>
      </c>
      <c r="G6" t="s">
        <v>57</v>
      </c>
    </row>
    <row r="7" spans="1:7" x14ac:dyDescent="0.55000000000000004">
      <c r="B7" t="s">
        <v>11</v>
      </c>
      <c r="G7" t="s">
        <v>87</v>
      </c>
    </row>
    <row r="8" spans="1:7" x14ac:dyDescent="0.55000000000000004">
      <c r="B8" t="s">
        <v>9</v>
      </c>
      <c r="G8" t="s">
        <v>112</v>
      </c>
    </row>
    <row r="9" spans="1:7" x14ac:dyDescent="0.55000000000000004">
      <c r="B9" t="s">
        <v>6</v>
      </c>
    </row>
    <row r="10" spans="1:7" x14ac:dyDescent="0.55000000000000004">
      <c r="B10" t="s">
        <v>13</v>
      </c>
    </row>
    <row r="11" spans="1:7" x14ac:dyDescent="0.55000000000000004">
      <c r="B11" t="s">
        <v>10</v>
      </c>
    </row>
    <row r="12" spans="1:7" x14ac:dyDescent="0.55000000000000004">
      <c r="B12" t="s">
        <v>64</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ocation2 xmlns="bfa70dca-5c52-4a34-92cc-f1f857dfe3f4" xsi:nil="true"/>
    <lcf76f155ced4ddcb4097134ff3c332f xmlns="bfa70dca-5c52-4a34-92cc-f1f857dfe3f4">
      <Terms xmlns="http://schemas.microsoft.com/office/infopath/2007/PartnerControls"/>
    </lcf76f155ced4ddcb4097134ff3c332f>
    <TaxCatchAll xmlns="765fc2e2-3267-417e-9a46-2302bf4c9859" xsi:nil="true"/>
    <a8642d20-dbc4-4f89-956c-f26ff22b743dPostalCode xmlns="bfa70dca-5c52-4a34-92cc-f1f857dfe3f4" xsi:nil="true"/>
    <a8642d20-dbc4-4f89-956c-f26ff22b743dDispName xmlns="bfa70dca-5c52-4a34-92cc-f1f857dfe3f4" xsi:nil="true"/>
    <a8642d20-dbc4-4f89-956c-f26ff22b743dCountryOrRegion xmlns="bfa70dca-5c52-4a34-92cc-f1f857dfe3f4" xsi:nil="true"/>
    <a8642d20-dbc4-4f89-956c-f26ff22b743dState xmlns="bfa70dca-5c52-4a34-92cc-f1f857dfe3f4" xsi:nil="true"/>
    <a8642d20-dbc4-4f89-956c-f26ff22b743dGeoLoc xmlns="bfa70dca-5c52-4a34-92cc-f1f857dfe3f4" xsi:nil="true"/>
    <a8642d20-dbc4-4f89-956c-f26ff22b743dCity xmlns="bfa70dca-5c52-4a34-92cc-f1f857dfe3f4" xsi:nil="true"/>
    <a8642d20-dbc4-4f89-956c-f26ff22b743dStreet xmlns="bfa70dca-5c52-4a34-92cc-f1f857dfe3f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8F0C7DA263C8F4386142D799DBC8129" ma:contentTypeVersion="24" ma:contentTypeDescription="Create a new document." ma:contentTypeScope="" ma:versionID="784d7a02c67458f749fa26753687ebed">
  <xsd:schema xmlns:xsd="http://www.w3.org/2001/XMLSchema" xmlns:xs="http://www.w3.org/2001/XMLSchema" xmlns:p="http://schemas.microsoft.com/office/2006/metadata/properties" xmlns:ns2="bfa70dca-5c52-4a34-92cc-f1f857dfe3f4" xmlns:ns3="765fc2e2-3267-417e-9a46-2302bf4c9859" targetNamespace="http://schemas.microsoft.com/office/2006/metadata/properties" ma:root="true" ma:fieldsID="5d6066c376c0e97a0343aeee3455f4d0" ns2:_="" ns3:_="">
    <xsd:import namespace="bfa70dca-5c52-4a34-92cc-f1f857dfe3f4"/>
    <xsd:import namespace="765fc2e2-3267-417e-9a46-2302bf4c9859"/>
    <xsd:element name="properties">
      <xsd:complexType>
        <xsd:sequence>
          <xsd:element name="documentManagement">
            <xsd:complexType>
              <xsd:all>
                <xsd:element ref="ns2:Location2" minOccurs="0"/>
                <xsd:element ref="ns2:a8642d20-dbc4-4f89-956c-f26ff22b743dCountryOrRegion" minOccurs="0"/>
                <xsd:element ref="ns2:a8642d20-dbc4-4f89-956c-f26ff22b743dState" minOccurs="0"/>
                <xsd:element ref="ns2:a8642d20-dbc4-4f89-956c-f26ff22b743dCity" minOccurs="0"/>
                <xsd:element ref="ns2:a8642d20-dbc4-4f89-956c-f26ff22b743dPostalCode" minOccurs="0"/>
                <xsd:element ref="ns2:a8642d20-dbc4-4f89-956c-f26ff22b743dStreet" minOccurs="0"/>
                <xsd:element ref="ns2:a8642d20-dbc4-4f89-956c-f26ff22b743dGeoLoc" minOccurs="0"/>
                <xsd:element ref="ns2:a8642d20-dbc4-4f89-956c-f26ff22b743dDispName" minOccurs="0"/>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a70dca-5c52-4a34-92cc-f1f857dfe3f4" elementFormDefault="qualified">
    <xsd:import namespace="http://schemas.microsoft.com/office/2006/documentManagement/types"/>
    <xsd:import namespace="http://schemas.microsoft.com/office/infopath/2007/PartnerControls"/>
    <xsd:element name="Location2" ma:index="5" nillable="true" ma:displayName="Location2" ma:internalName="Location2" ma:readOnly="false">
      <xsd:simpleType>
        <xsd:restriction base="dms:Unknown"/>
      </xsd:simpleType>
    </xsd:element>
    <xsd:element name="a8642d20-dbc4-4f89-956c-f26ff22b743dCountryOrRegion" ma:index="9" nillable="true" ma:displayName="Location2: Country/Region" ma:internalName="CountryOrRegion" ma:readOnly="true">
      <xsd:simpleType>
        <xsd:restriction base="dms:Text"/>
      </xsd:simpleType>
    </xsd:element>
    <xsd:element name="a8642d20-dbc4-4f89-956c-f26ff22b743dState" ma:index="10" nillable="true" ma:displayName="Location2: State" ma:internalName="State" ma:readOnly="true">
      <xsd:simpleType>
        <xsd:restriction base="dms:Text"/>
      </xsd:simpleType>
    </xsd:element>
    <xsd:element name="a8642d20-dbc4-4f89-956c-f26ff22b743dCity" ma:index="11" nillable="true" ma:displayName="Location2: City" ma:internalName="City" ma:readOnly="true">
      <xsd:simpleType>
        <xsd:restriction base="dms:Text"/>
      </xsd:simpleType>
    </xsd:element>
    <xsd:element name="a8642d20-dbc4-4f89-956c-f26ff22b743dPostalCode" ma:index="12" nillable="true" ma:displayName="Location2: Postal Code" ma:internalName="PostalCode" ma:readOnly="true">
      <xsd:simpleType>
        <xsd:restriction base="dms:Text"/>
      </xsd:simpleType>
    </xsd:element>
    <xsd:element name="a8642d20-dbc4-4f89-956c-f26ff22b743dStreet" ma:index="13" nillable="true" ma:displayName="Location2: Street" ma:internalName="Street" ma:readOnly="true">
      <xsd:simpleType>
        <xsd:restriction base="dms:Text"/>
      </xsd:simpleType>
    </xsd:element>
    <xsd:element name="a8642d20-dbc4-4f89-956c-f26ff22b743dGeoLoc" ma:index="14" nillable="true" ma:displayName="Location2: Coordinates" ma:internalName="GeoLoc" ma:readOnly="true">
      <xsd:simpleType>
        <xsd:restriction base="dms:Unknown"/>
      </xsd:simpleType>
    </xsd:element>
    <xsd:element name="a8642d20-dbc4-4f89-956c-f26ff22b743dDispName" ma:index="15" nillable="true" ma:displayName="Location2: Name" ma:internalName="DispName" ma:readOnly="true">
      <xsd:simpleType>
        <xsd:restriction base="dms:Text"/>
      </xsd:simpleType>
    </xsd:element>
    <xsd:element name="MediaServiceMetadata" ma:index="16" nillable="true" ma:displayName="MediaServiceMetadata" ma:hidden="true" ma:internalName="MediaServiceMetadata" ma:readOnly="true">
      <xsd:simpleType>
        <xsd:restriction base="dms:Note"/>
      </xsd:simpleType>
    </xsd:element>
    <xsd:element name="MediaServiceFastMetadata" ma:index="17" nillable="true" ma:displayName="MediaServiceFastMetadata" ma:hidden="true" ma:internalName="MediaServiceFastMetadata" ma:readOnly="true">
      <xsd:simpleType>
        <xsd:restriction base="dms:Note"/>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BillingMetadata" ma:index="23" nillable="true" ma:displayName="MediaServiceBillingMetadata" ma:hidden="true" ma:internalName="MediaServiceBillingMetadata" ma:readOnly="true">
      <xsd:simpleType>
        <xsd:restriction base="dms:Note"/>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ea06dc81-7351-40b9-acc0-3b5a169b4e4e" ma:termSetId="09814cd3-568e-fe90-9814-8d621ff8fb84" ma:anchorId="fba54fb3-c3e1-fe81-a776-ca4b69148c4d" ma:open="true" ma:isKeyword="false">
      <xsd:complexType>
        <xsd:sequence>
          <xsd:element ref="pc:Terms" minOccurs="0" maxOccurs="1"/>
        </xsd:sequence>
      </xsd:complexType>
    </xsd:element>
    <xsd:element name="MediaServiceOCR" ma:index="2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65fc2e2-3267-417e-9a46-2302bf4c9859" elementFormDefault="qualified">
    <xsd:import namespace="http://schemas.microsoft.com/office/2006/documentManagement/types"/>
    <xsd:import namespace="http://schemas.microsoft.com/office/infopath/2007/PartnerControls"/>
    <xsd:element name="TaxCatchAll" ma:index="26" nillable="true" ma:displayName="Taxonomy Catch All Column" ma:hidden="true" ma:list="{74b4c951-936d-414f-9893-f3ed6bec2ee8}" ma:internalName="TaxCatchAll" ma:showField="CatchAllData" ma:web="765fc2e2-3267-417e-9a46-2302bf4c98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6"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CFD8F87-7D57-4E32-A372-0ADDF11BF643}">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60CF623E-2CDF-419E-96EE-2F451BF408C3}">
  <ds:schemaRefs>
    <ds:schemaRef ds:uri="http://schemas.microsoft.com/sharepoint/v3/contenttype/forms"/>
  </ds:schemaRefs>
</ds:datastoreItem>
</file>

<file path=customXml/itemProps3.xml><?xml version="1.0" encoding="utf-8"?>
<ds:datastoreItem xmlns:ds="http://schemas.openxmlformats.org/officeDocument/2006/customXml" ds:itemID="{936F36A2-3CB6-4082-99AA-FF9C3680075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Workflows</vt:lpstr>
      <vt:lpstr>Definition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Christian Skjødt</dc:creator>
  <cp:keywords/>
  <dc:description/>
  <cp:lastModifiedBy>Christian Skjødt</cp:lastModifiedBy>
  <cp:revision/>
  <dcterms:created xsi:type="dcterms:W3CDTF">2021-10-11T06:13:16Z</dcterms:created>
  <dcterms:modified xsi:type="dcterms:W3CDTF">2024-12-18T20:27:59Z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0x01010068F0C7DA263C8F4386142D799DBC8129</vt:lpwstr>
  </property>
  <property fmtid="{D5CDD505-2E9C-101B-9397-08002B2CF9AE}" pid="3" name="Order">
    <vt:r8>12065600</vt:r8>
  </property>
  <property fmtid="{D5CDD505-2E9C-101B-9397-08002B2CF9AE}" pid="4" name="_ExtendedDescription">
    <vt:lpwstr/>
  </property>
  <property fmtid="{D5CDD505-2E9C-101B-9397-08002B2CF9AE}" pid="5" name="MediaServiceImageTags">
    <vt:lpwstr/>
  </property>
</Properties>
</file>