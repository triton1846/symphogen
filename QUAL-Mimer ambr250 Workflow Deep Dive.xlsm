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ymphogen-my.sharepoint.com/personal/csk_symphogen_com/Documents/Dokumenter/"/>
    </mc:Choice>
  </mc:AlternateContent>
  <xr:revisionPtr revIDLastSave="0" documentId="13_ncr:20001_{1F3192E3-DD6F-4CB6-BDEC-6E15B491F17D}" xr6:coauthVersionLast="47" xr6:coauthVersionMax="47" xr10:uidLastSave="{00000000-0000-0000-0000-000000000000}"/>
  <bookViews>
    <workbookView xWindow="-120" yWindow="-120" windowWidth="29040" windowHeight="15720" activeTab="3" xr2:uid="{E954EDF1-0F3B-41CD-9B5B-B3752390BA88}"/>
  </bookViews>
  <sheets>
    <sheet name="Overview" sheetId="8" r:id="rId1"/>
    <sheet name="Tasks" sheetId="5" r:id="rId2"/>
    <sheet name="Map" sheetId="6" r:id="rId3"/>
    <sheet name="Summary" sheetId="7" r:id="rId4"/>
    <sheet name="Definition" sheetId="4" r:id="rId5"/>
  </sheets>
  <definedNames>
    <definedName name="_xlnm._FilterDatabase" localSheetId="2" hidden="1">Map!$D$2:$F$200</definedName>
    <definedName name="_xlnm._FilterDatabase" localSheetId="0" hidden="1">Overview!$B$3:$C$3</definedName>
    <definedName name="_xlnm._FilterDatabase" localSheetId="3" hidden="1">Summary!$A$1:$Z$50</definedName>
    <definedName name="_xlnm._FilterDatabase" localSheetId="1" hidden="1">Tasks!$B$1:$E$1</definedName>
    <definedName name="_xlnm.Extract" localSheetId="0">Overview!$B$4:$C$4</definedName>
    <definedName name="_xlnm.Extract" localSheetId="3">Summary!$D$2:$F$2</definedName>
    <definedName name="workflow_element" localSheetId="2">Map!$D$2:$D$1048576</definedName>
    <definedName name="workflow_element">#REF!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7" l="1"/>
  <c r="W35" i="7" a="1"/>
  <c r="W35" i="7" s="1"/>
  <c r="V35" i="7" a="1"/>
  <c r="V35" i="7" s="1"/>
  <c r="U35" i="7" a="1"/>
  <c r="U35" i="7" s="1"/>
  <c r="P35" i="7" a="1"/>
  <c r="P35" i="7" s="1"/>
  <c r="O35" i="7" a="1"/>
  <c r="O35" i="7" s="1"/>
  <c r="N35" i="7" a="1"/>
  <c r="N35" i="7" s="1"/>
  <c r="W34" i="7" a="1"/>
  <c r="W34" i="7" s="1"/>
  <c r="V34" i="7" a="1"/>
  <c r="V34" i="7" s="1"/>
  <c r="U34" i="7" a="1"/>
  <c r="U34" i="7" s="1"/>
  <c r="P34" i="7" a="1"/>
  <c r="P34" i="7" s="1"/>
  <c r="O34" i="7" a="1"/>
  <c r="O34" i="7" s="1"/>
  <c r="N34" i="7" a="1"/>
  <c r="N34" i="7" s="1"/>
  <c r="C34" i="7"/>
  <c r="W33" i="7" a="1"/>
  <c r="W33" i="7" s="1"/>
  <c r="V33" i="7" a="1"/>
  <c r="V33" i="7" s="1"/>
  <c r="U33" i="7" a="1"/>
  <c r="U33" i="7" s="1"/>
  <c r="P33" i="7" a="1"/>
  <c r="P33" i="7" s="1"/>
  <c r="O33" i="7" a="1"/>
  <c r="O33" i="7" s="1"/>
  <c r="N33" i="7" a="1"/>
  <c r="N33" i="7" s="1"/>
  <c r="C33" i="7"/>
  <c r="P3" i="7" a="1"/>
  <c r="P3" i="7" s="1"/>
  <c r="P4" i="7" a="1"/>
  <c r="P4" i="7" s="1"/>
  <c r="P5" i="7" a="1"/>
  <c r="P5" i="7" s="1"/>
  <c r="P6" i="7" a="1"/>
  <c r="P6" i="7" s="1"/>
  <c r="P7" i="7" a="1"/>
  <c r="P7" i="7" s="1"/>
  <c r="P8" i="7" a="1"/>
  <c r="P8" i="7" s="1"/>
  <c r="P9" i="7" a="1"/>
  <c r="P9" i="7" s="1"/>
  <c r="P10" i="7" a="1"/>
  <c r="P10" i="7" s="1"/>
  <c r="P11" i="7" a="1"/>
  <c r="P11" i="7" s="1"/>
  <c r="P12" i="7" a="1"/>
  <c r="P12" i="7" s="1"/>
  <c r="P13" i="7" a="1"/>
  <c r="P13" i="7" s="1"/>
  <c r="P14" i="7" a="1"/>
  <c r="P14" i="7" s="1"/>
  <c r="P15" i="7" a="1"/>
  <c r="P15" i="7" s="1"/>
  <c r="P16" i="7" a="1"/>
  <c r="P16" i="7" s="1"/>
  <c r="P17" i="7" a="1"/>
  <c r="P17" i="7" s="1"/>
  <c r="P18" i="7" a="1"/>
  <c r="P18" i="7" s="1"/>
  <c r="P19" i="7" a="1"/>
  <c r="P19" i="7" s="1"/>
  <c r="P20" i="7" a="1"/>
  <c r="P20" i="7" s="1"/>
  <c r="P21" i="7" a="1"/>
  <c r="P21" i="7" s="1"/>
  <c r="P22" i="7" a="1"/>
  <c r="P22" i="7" s="1"/>
  <c r="P23" i="7" a="1"/>
  <c r="P23" i="7" s="1"/>
  <c r="P24" i="7" a="1"/>
  <c r="P24" i="7" s="1"/>
  <c r="P25" i="7" a="1"/>
  <c r="P25" i="7" s="1"/>
  <c r="P26" i="7" a="1"/>
  <c r="P26" i="7" s="1"/>
  <c r="P27" i="7" a="1"/>
  <c r="P27" i="7" s="1"/>
  <c r="P28" i="7" a="1"/>
  <c r="P28" i="7" s="1"/>
  <c r="P29" i="7" a="1"/>
  <c r="P29" i="7" s="1"/>
  <c r="P30" i="7" a="1"/>
  <c r="P30" i="7" s="1"/>
  <c r="P31" i="7" a="1"/>
  <c r="P31" i="7" s="1"/>
  <c r="P32" i="7" a="1"/>
  <c r="P32" i="7" s="1"/>
  <c r="P36" i="7" a="1"/>
  <c r="P36" i="7" s="1"/>
  <c r="P37" i="7" a="1"/>
  <c r="P37" i="7" s="1"/>
  <c r="P38" i="7" a="1"/>
  <c r="P38" i="7" s="1"/>
  <c r="P39" i="7" a="1"/>
  <c r="P39" i="7" s="1"/>
  <c r="P40" i="7" a="1"/>
  <c r="P40" i="7" s="1"/>
  <c r="P41" i="7" a="1"/>
  <c r="P41" i="7" s="1"/>
  <c r="P42" i="7" a="1"/>
  <c r="P42" i="7" s="1"/>
  <c r="P43" i="7" a="1"/>
  <c r="P43" i="7" s="1"/>
  <c r="P44" i="7" a="1"/>
  <c r="P44" i="7" s="1"/>
  <c r="P45" i="7" a="1"/>
  <c r="P45" i="7" s="1"/>
  <c r="P46" i="7" a="1"/>
  <c r="P46" i="7" s="1"/>
  <c r="P47" i="7" a="1"/>
  <c r="P47" i="7" s="1"/>
  <c r="P48" i="7" a="1"/>
  <c r="P48" i="7" s="1"/>
  <c r="P49" i="7" a="1"/>
  <c r="P49" i="7" s="1"/>
  <c r="P50" i="7" a="1"/>
  <c r="P50" i="7" s="1"/>
  <c r="P2" i="7" a="1"/>
  <c r="P2" i="7" s="1"/>
  <c r="W3" i="7" a="1"/>
  <c r="W3" i="7" s="1"/>
  <c r="W4" i="7" a="1"/>
  <c r="W4" i="7" s="1"/>
  <c r="Z4" i="7" s="1"/>
  <c r="W5" i="7" a="1"/>
  <c r="W5" i="7" s="1"/>
  <c r="W6" i="7" a="1"/>
  <c r="W6" i="7" s="1"/>
  <c r="W7" i="7" a="1"/>
  <c r="W7" i="7" s="1"/>
  <c r="W8" i="7" a="1"/>
  <c r="W8" i="7" s="1"/>
  <c r="Z8" i="7" s="1"/>
  <c r="W9" i="7" a="1"/>
  <c r="W9" i="7" s="1"/>
  <c r="W10" i="7" a="1"/>
  <c r="W10" i="7" s="1"/>
  <c r="W11" i="7" a="1"/>
  <c r="W11" i="7" s="1"/>
  <c r="W12" i="7" a="1"/>
  <c r="W12" i="7" s="1"/>
  <c r="W13" i="7" a="1"/>
  <c r="W13" i="7" s="1"/>
  <c r="W14" i="7" a="1"/>
  <c r="W14" i="7" s="1"/>
  <c r="W15" i="7" a="1"/>
  <c r="W15" i="7" s="1"/>
  <c r="Z15" i="7" s="1"/>
  <c r="W16" i="7" a="1"/>
  <c r="W16" i="7" s="1"/>
  <c r="Z16" i="7" s="1"/>
  <c r="W17" i="7" a="1"/>
  <c r="W17" i="7" s="1"/>
  <c r="W18" i="7" a="1"/>
  <c r="W18" i="7" s="1"/>
  <c r="W19" i="7" a="1"/>
  <c r="W19" i="7" s="1"/>
  <c r="W20" i="7" a="1"/>
  <c r="W20" i="7" s="1"/>
  <c r="W21" i="7" a="1"/>
  <c r="W21" i="7" s="1"/>
  <c r="W22" i="7" a="1"/>
  <c r="W22" i="7" s="1"/>
  <c r="W23" i="7" a="1"/>
  <c r="W23" i="7" s="1"/>
  <c r="W24" i="7" a="1"/>
  <c r="W24" i="7" s="1"/>
  <c r="W25" i="7" a="1"/>
  <c r="W25" i="7" s="1"/>
  <c r="W26" i="7" a="1"/>
  <c r="W26" i="7" s="1"/>
  <c r="W27" i="7" a="1"/>
  <c r="W27" i="7" s="1"/>
  <c r="W28" i="7" a="1"/>
  <c r="W28" i="7" s="1"/>
  <c r="W29" i="7" a="1"/>
  <c r="W29" i="7" s="1"/>
  <c r="W30" i="7" a="1"/>
  <c r="W30" i="7" s="1"/>
  <c r="W31" i="7" a="1"/>
  <c r="W31" i="7" s="1"/>
  <c r="W32" i="7" a="1"/>
  <c r="W32" i="7" s="1"/>
  <c r="W36" i="7" a="1"/>
  <c r="W36" i="7" s="1"/>
  <c r="Z36" i="7" s="1"/>
  <c r="W37" i="7" a="1"/>
  <c r="W37" i="7" s="1"/>
  <c r="Z37" i="7" s="1"/>
  <c r="W38" i="7" a="1"/>
  <c r="W38" i="7" s="1"/>
  <c r="Z38" i="7" s="1"/>
  <c r="W39" i="7" a="1"/>
  <c r="W39" i="7" s="1"/>
  <c r="Z39" i="7" s="1"/>
  <c r="W40" i="7" a="1"/>
  <c r="W40" i="7" s="1"/>
  <c r="Z40" i="7" s="1"/>
  <c r="W41" i="7" a="1"/>
  <c r="W41" i="7" s="1"/>
  <c r="Z41" i="7" s="1"/>
  <c r="W42" i="7" a="1"/>
  <c r="W42" i="7" s="1"/>
  <c r="Z42" i="7" s="1"/>
  <c r="W43" i="7" a="1"/>
  <c r="W43" i="7" s="1"/>
  <c r="Z43" i="7" s="1"/>
  <c r="W44" i="7" a="1"/>
  <c r="W44" i="7" s="1"/>
  <c r="Z44" i="7" s="1"/>
  <c r="W45" i="7" a="1"/>
  <c r="W45" i="7" s="1"/>
  <c r="Z45" i="7" s="1"/>
  <c r="W46" i="7" a="1"/>
  <c r="W46" i="7" s="1"/>
  <c r="Z46" i="7" s="1"/>
  <c r="W47" i="7" a="1"/>
  <c r="W47" i="7" s="1"/>
  <c r="Z47" i="7" s="1"/>
  <c r="W48" i="7" a="1"/>
  <c r="W48" i="7" s="1"/>
  <c r="Z48" i="7" s="1"/>
  <c r="W49" i="7" a="1"/>
  <c r="W49" i="7" s="1"/>
  <c r="Z49" i="7" s="1"/>
  <c r="W50" i="7" a="1"/>
  <c r="W50" i="7" s="1"/>
  <c r="Z50" i="7" s="1"/>
  <c r="W2" i="7" a="1"/>
  <c r="W2" i="7" s="1"/>
  <c r="O2" i="7" a="1"/>
  <c r="O2" i="7" s="1"/>
  <c r="V2" i="7" a="1"/>
  <c r="V2" i="7" s="1"/>
  <c r="U3" i="7" a="1"/>
  <c r="U3" i="7" s="1"/>
  <c r="U4" i="7" a="1"/>
  <c r="U4" i="7" s="1"/>
  <c r="U5" i="7" a="1"/>
  <c r="U5" i="7" s="1"/>
  <c r="U6" i="7" a="1"/>
  <c r="U6" i="7" s="1"/>
  <c r="U7" i="7" a="1"/>
  <c r="U7" i="7" s="1"/>
  <c r="U8" i="7" a="1"/>
  <c r="U8" i="7" s="1"/>
  <c r="U9" i="7" a="1"/>
  <c r="U9" i="7" s="1"/>
  <c r="U10" i="7" a="1"/>
  <c r="U10" i="7" s="1"/>
  <c r="U11" i="7" a="1"/>
  <c r="U11" i="7" s="1"/>
  <c r="U12" i="7" a="1"/>
  <c r="U12" i="7" s="1"/>
  <c r="U13" i="7" a="1"/>
  <c r="U13" i="7" s="1"/>
  <c r="U14" i="7" a="1"/>
  <c r="U14" i="7" s="1"/>
  <c r="U15" i="7" a="1"/>
  <c r="U15" i="7" s="1"/>
  <c r="U16" i="7" a="1"/>
  <c r="U16" i="7" s="1"/>
  <c r="U17" i="7" a="1"/>
  <c r="U17" i="7" s="1"/>
  <c r="U18" i="7" a="1"/>
  <c r="U18" i="7" s="1"/>
  <c r="U19" i="7" a="1"/>
  <c r="U19" i="7" s="1"/>
  <c r="U20" i="7" a="1"/>
  <c r="U20" i="7" s="1"/>
  <c r="U21" i="7" a="1"/>
  <c r="U21" i="7" s="1"/>
  <c r="U22" i="7" a="1"/>
  <c r="U22" i="7" s="1"/>
  <c r="U23" i="7" a="1"/>
  <c r="U23" i="7" s="1"/>
  <c r="U24" i="7" a="1"/>
  <c r="U24" i="7" s="1"/>
  <c r="U25" i="7" a="1"/>
  <c r="U25" i="7" s="1"/>
  <c r="U26" i="7" a="1"/>
  <c r="U26" i="7" s="1"/>
  <c r="U27" i="7" a="1"/>
  <c r="U27" i="7" s="1"/>
  <c r="U28" i="7" a="1"/>
  <c r="U28" i="7" s="1"/>
  <c r="U29" i="7" a="1"/>
  <c r="U29" i="7" s="1"/>
  <c r="U30" i="7" a="1"/>
  <c r="U30" i="7" s="1"/>
  <c r="U31" i="7" a="1"/>
  <c r="U31" i="7" s="1"/>
  <c r="U32" i="7" a="1"/>
  <c r="U32" i="7" s="1"/>
  <c r="U36" i="7" a="1"/>
  <c r="U36" i="7" s="1"/>
  <c r="X36" i="7" s="1"/>
  <c r="U37" i="7" a="1"/>
  <c r="U37" i="7" s="1"/>
  <c r="X37" i="7" s="1"/>
  <c r="U38" i="7" a="1"/>
  <c r="U38" i="7" s="1"/>
  <c r="X38" i="7" s="1"/>
  <c r="U39" i="7" a="1"/>
  <c r="U39" i="7" s="1"/>
  <c r="X39" i="7" s="1"/>
  <c r="U40" i="7" a="1"/>
  <c r="U40" i="7" s="1"/>
  <c r="X40" i="7" s="1"/>
  <c r="U41" i="7" a="1"/>
  <c r="U41" i="7" s="1"/>
  <c r="X41" i="7" s="1"/>
  <c r="U42" i="7" a="1"/>
  <c r="U42" i="7" s="1"/>
  <c r="X42" i="7" s="1"/>
  <c r="U43" i="7" a="1"/>
  <c r="U43" i="7" s="1"/>
  <c r="X43" i="7" s="1"/>
  <c r="U44" i="7" a="1"/>
  <c r="U44" i="7" s="1"/>
  <c r="X44" i="7" s="1"/>
  <c r="U45" i="7" a="1"/>
  <c r="U45" i="7" s="1"/>
  <c r="X45" i="7" s="1"/>
  <c r="U46" i="7" a="1"/>
  <c r="U46" i="7" s="1"/>
  <c r="X46" i="7" s="1"/>
  <c r="U47" i="7" a="1"/>
  <c r="U47" i="7" s="1"/>
  <c r="X47" i="7" s="1"/>
  <c r="U48" i="7" a="1"/>
  <c r="U48" i="7" s="1"/>
  <c r="X48" i="7" s="1"/>
  <c r="U49" i="7" a="1"/>
  <c r="U49" i="7" s="1"/>
  <c r="X49" i="7" s="1"/>
  <c r="U50" i="7" a="1"/>
  <c r="U50" i="7" s="1"/>
  <c r="X50" i="7" s="1"/>
  <c r="U2" i="7" a="1"/>
  <c r="U2" i="7" s="1"/>
  <c r="N3" i="7" a="1"/>
  <c r="N3" i="7" s="1"/>
  <c r="N4" i="7" a="1"/>
  <c r="N4" i="7" s="1"/>
  <c r="N5" i="7" a="1"/>
  <c r="N5" i="7" s="1"/>
  <c r="N6" i="7" a="1"/>
  <c r="N6" i="7" s="1"/>
  <c r="N7" i="7" a="1"/>
  <c r="N7" i="7" s="1"/>
  <c r="N8" i="7" a="1"/>
  <c r="N8" i="7" s="1"/>
  <c r="N9" i="7" a="1"/>
  <c r="N9" i="7" s="1"/>
  <c r="N10" i="7" a="1"/>
  <c r="N10" i="7" s="1"/>
  <c r="N11" i="7" a="1"/>
  <c r="N11" i="7" s="1"/>
  <c r="N12" i="7" a="1"/>
  <c r="N12" i="7" s="1"/>
  <c r="N13" i="7" a="1"/>
  <c r="N13" i="7" s="1"/>
  <c r="N14" i="7" a="1"/>
  <c r="N14" i="7" s="1"/>
  <c r="N15" i="7" a="1"/>
  <c r="N15" i="7" s="1"/>
  <c r="N16" i="7" a="1"/>
  <c r="N16" i="7" s="1"/>
  <c r="N17" i="7" a="1"/>
  <c r="N17" i="7" s="1"/>
  <c r="N18" i="7" a="1"/>
  <c r="N18" i="7" s="1"/>
  <c r="N19" i="7" a="1"/>
  <c r="N19" i="7" s="1"/>
  <c r="N20" i="7" a="1"/>
  <c r="N20" i="7" s="1"/>
  <c r="N21" i="7" a="1"/>
  <c r="N21" i="7" s="1"/>
  <c r="N22" i="7" a="1"/>
  <c r="N22" i="7" s="1"/>
  <c r="N23" i="7" a="1"/>
  <c r="N23" i="7" s="1"/>
  <c r="N24" i="7" a="1"/>
  <c r="N24" i="7" s="1"/>
  <c r="N25" i="7" a="1"/>
  <c r="N25" i="7" s="1"/>
  <c r="N26" i="7" a="1"/>
  <c r="N26" i="7" s="1"/>
  <c r="N27" i="7" a="1"/>
  <c r="N27" i="7" s="1"/>
  <c r="N28" i="7" a="1"/>
  <c r="N28" i="7" s="1"/>
  <c r="N29" i="7" a="1"/>
  <c r="N29" i="7" s="1"/>
  <c r="N30" i="7" a="1"/>
  <c r="N30" i="7" s="1"/>
  <c r="N31" i="7" a="1"/>
  <c r="N31" i="7" s="1"/>
  <c r="N32" i="7" a="1"/>
  <c r="N32" i="7" s="1"/>
  <c r="N36" i="7" a="1"/>
  <c r="N36" i="7" s="1"/>
  <c r="N37" i="7" a="1"/>
  <c r="N37" i="7" s="1"/>
  <c r="N38" i="7" a="1"/>
  <c r="N38" i="7" s="1"/>
  <c r="N39" i="7" a="1"/>
  <c r="N39" i="7" s="1"/>
  <c r="N40" i="7" a="1"/>
  <c r="N40" i="7" s="1"/>
  <c r="N41" i="7" a="1"/>
  <c r="N41" i="7" s="1"/>
  <c r="N42" i="7" a="1"/>
  <c r="N42" i="7" s="1"/>
  <c r="N43" i="7" a="1"/>
  <c r="N43" i="7" s="1"/>
  <c r="N44" i="7" a="1"/>
  <c r="N44" i="7" s="1"/>
  <c r="N45" i="7" a="1"/>
  <c r="N45" i="7" s="1"/>
  <c r="N46" i="7" a="1"/>
  <c r="N46" i="7" s="1"/>
  <c r="N47" i="7" a="1"/>
  <c r="N47" i="7" s="1"/>
  <c r="N48" i="7" a="1"/>
  <c r="N48" i="7" s="1"/>
  <c r="N49" i="7" a="1"/>
  <c r="N49" i="7" s="1"/>
  <c r="N50" i="7" a="1"/>
  <c r="N50" i="7" s="1"/>
  <c r="N2" i="7" a="1"/>
  <c r="N2" i="7" s="1"/>
  <c r="V50" i="7" a="1"/>
  <c r="V50" i="7" s="1"/>
  <c r="Y50" i="7" s="1"/>
  <c r="V49" i="7" a="1"/>
  <c r="V49" i="7" s="1"/>
  <c r="Y49" i="7" s="1"/>
  <c r="V48" i="7" a="1"/>
  <c r="V48" i="7" s="1"/>
  <c r="Y48" i="7" s="1"/>
  <c r="V47" i="7" a="1"/>
  <c r="V47" i="7" s="1"/>
  <c r="Y47" i="7" s="1"/>
  <c r="V46" i="7" a="1"/>
  <c r="V46" i="7" s="1"/>
  <c r="Y46" i="7" s="1"/>
  <c r="V45" i="7" a="1"/>
  <c r="V45" i="7" s="1"/>
  <c r="Y45" i="7" s="1"/>
  <c r="V44" i="7" a="1"/>
  <c r="V44" i="7" s="1"/>
  <c r="Y44" i="7" s="1"/>
  <c r="V43" i="7" a="1"/>
  <c r="V43" i="7" s="1"/>
  <c r="Y43" i="7" s="1"/>
  <c r="V42" i="7" a="1"/>
  <c r="V42" i="7" s="1"/>
  <c r="Y42" i="7" s="1"/>
  <c r="V41" i="7" a="1"/>
  <c r="V41" i="7" s="1"/>
  <c r="Y41" i="7" s="1"/>
  <c r="V40" i="7" a="1"/>
  <c r="V40" i="7" s="1"/>
  <c r="Y40" i="7" s="1"/>
  <c r="V39" i="7" a="1"/>
  <c r="V39" i="7" s="1"/>
  <c r="Y39" i="7" s="1"/>
  <c r="V38" i="7" a="1"/>
  <c r="V38" i="7" s="1"/>
  <c r="Y38" i="7" s="1"/>
  <c r="V37" i="7" a="1"/>
  <c r="V37" i="7" s="1"/>
  <c r="Y37" i="7" s="1"/>
  <c r="V36" i="7" a="1"/>
  <c r="V36" i="7" s="1"/>
  <c r="Y36" i="7" s="1"/>
  <c r="V32" i="7" a="1"/>
  <c r="V32" i="7" s="1"/>
  <c r="V31" i="7" a="1"/>
  <c r="V31" i="7" s="1"/>
  <c r="V30" i="7" a="1"/>
  <c r="V30" i="7" s="1"/>
  <c r="V29" i="7" a="1"/>
  <c r="V29" i="7" s="1"/>
  <c r="V28" i="7" a="1"/>
  <c r="V28" i="7" s="1"/>
  <c r="V27" i="7" a="1"/>
  <c r="V27" i="7" s="1"/>
  <c r="V26" i="7" a="1"/>
  <c r="V26" i="7" s="1"/>
  <c r="V25" i="7" a="1"/>
  <c r="V25" i="7" s="1"/>
  <c r="V24" i="7" a="1"/>
  <c r="V24" i="7" s="1"/>
  <c r="V23" i="7" a="1"/>
  <c r="V23" i="7" s="1"/>
  <c r="V22" i="7" a="1"/>
  <c r="V22" i="7" s="1"/>
  <c r="V21" i="7" a="1"/>
  <c r="V21" i="7" s="1"/>
  <c r="V20" i="7" a="1"/>
  <c r="V20" i="7" s="1"/>
  <c r="V19" i="7" a="1"/>
  <c r="V19" i="7" s="1"/>
  <c r="V18" i="7" a="1"/>
  <c r="V18" i="7" s="1"/>
  <c r="V17" i="7" a="1"/>
  <c r="V17" i="7" s="1"/>
  <c r="V16" i="7" a="1"/>
  <c r="V16" i="7" s="1"/>
  <c r="V15" i="7" a="1"/>
  <c r="V15" i="7" s="1"/>
  <c r="V14" i="7" a="1"/>
  <c r="V14" i="7" s="1"/>
  <c r="V13" i="7" a="1"/>
  <c r="V13" i="7" s="1"/>
  <c r="V12" i="7" a="1"/>
  <c r="V12" i="7" s="1"/>
  <c r="V11" i="7" a="1"/>
  <c r="V11" i="7" s="1"/>
  <c r="V10" i="7" a="1"/>
  <c r="V10" i="7" s="1"/>
  <c r="V9" i="7" a="1"/>
  <c r="V9" i="7" s="1"/>
  <c r="V8" i="7" a="1"/>
  <c r="V8" i="7" s="1"/>
  <c r="V7" i="7" a="1"/>
  <c r="V7" i="7" s="1"/>
  <c r="V6" i="7" a="1"/>
  <c r="V6" i="7" s="1"/>
  <c r="V5" i="7" a="1"/>
  <c r="V5" i="7" s="1"/>
  <c r="V4" i="7" a="1"/>
  <c r="V4" i="7" s="1"/>
  <c r="V3" i="7" a="1"/>
  <c r="V3" i="7" s="1"/>
  <c r="Z29" i="7" l="1"/>
  <c r="Z13" i="7"/>
  <c r="Z11" i="7"/>
  <c r="Z6" i="7"/>
  <c r="X35" i="7"/>
  <c r="Z17" i="7"/>
  <c r="Y35" i="7"/>
  <c r="Z35" i="7"/>
  <c r="Y34" i="7"/>
  <c r="X34" i="7"/>
  <c r="Z34" i="7"/>
  <c r="Z24" i="7"/>
  <c r="Z22" i="7"/>
  <c r="Z31" i="7"/>
  <c r="Z9" i="7"/>
  <c r="Z25" i="7"/>
  <c r="Z32" i="7"/>
  <c r="Z20" i="7"/>
  <c r="Z18" i="7"/>
  <c r="Y33" i="7"/>
  <c r="Z33" i="7"/>
  <c r="Z27" i="7"/>
  <c r="X18" i="7"/>
  <c r="Z7" i="7"/>
  <c r="Z2" i="7"/>
  <c r="X25" i="7"/>
  <c r="X11" i="7"/>
  <c r="X23" i="7"/>
  <c r="Z12" i="7"/>
  <c r="Z23" i="7"/>
  <c r="X29" i="7"/>
  <c r="Z30" i="7"/>
  <c r="X10" i="7"/>
  <c r="X24" i="7"/>
  <c r="X8" i="7"/>
  <c r="X20" i="7"/>
  <c r="X2" i="7"/>
  <c r="X22" i="7"/>
  <c r="Z21" i="7"/>
  <c r="Z5" i="7"/>
  <c r="X21" i="7"/>
  <c r="X9" i="7"/>
  <c r="Z19" i="7"/>
  <c r="Z3" i="7"/>
  <c r="X19" i="7"/>
  <c r="X32" i="7"/>
  <c r="X31" i="7"/>
  <c r="X17" i="7"/>
  <c r="X6" i="7"/>
  <c r="Z28" i="7"/>
  <c r="X30" i="7"/>
  <c r="X5" i="7"/>
  <c r="Z26" i="7"/>
  <c r="X28" i="7"/>
  <c r="X3" i="7"/>
  <c r="X15" i="7"/>
  <c r="X27" i="7"/>
  <c r="X14" i="7"/>
  <c r="Y2" i="7"/>
  <c r="X13" i="7"/>
  <c r="X12" i="7"/>
  <c r="X33" i="7"/>
  <c r="X4" i="7"/>
  <c r="X16" i="7"/>
  <c r="X26" i="7"/>
  <c r="Z10" i="7"/>
  <c r="X7" i="7"/>
  <c r="Z14" i="7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" i="5"/>
  <c r="C4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" i="7"/>
  <c r="C23" i="7"/>
  <c r="C22" i="7"/>
  <c r="C19" i="7"/>
  <c r="C9" i="7"/>
  <c r="C12" i="7"/>
  <c r="C21" i="7"/>
  <c r="C10" i="7"/>
  <c r="C6" i="7"/>
  <c r="C28" i="7"/>
  <c r="C26" i="7"/>
  <c r="C27" i="7"/>
  <c r="C31" i="7"/>
  <c r="C11" i="7"/>
  <c r="C15" i="7"/>
  <c r="C17" i="7"/>
  <c r="C14" i="7"/>
  <c r="C20" i="7"/>
  <c r="C5" i="7"/>
  <c r="C32" i="7"/>
  <c r="C29" i="7"/>
  <c r="C8" i="7"/>
  <c r="C2" i="7"/>
  <c r="C30" i="7"/>
  <c r="C13" i="7"/>
  <c r="C25" i="7"/>
  <c r="C24" i="7"/>
  <c r="C16" i="7"/>
  <c r="C18" i="7"/>
  <c r="C7" i="7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" i="6"/>
  <c r="O50" i="7" a="1"/>
  <c r="O50" i="7" s="1"/>
  <c r="O49" i="7" a="1"/>
  <c r="O49" i="7" s="1"/>
  <c r="O48" i="7" a="1"/>
  <c r="O48" i="7" s="1"/>
  <c r="O47" i="7" a="1"/>
  <c r="O47" i="7" s="1"/>
  <c r="O46" i="7" a="1"/>
  <c r="O46" i="7" s="1"/>
  <c r="O45" i="7" a="1"/>
  <c r="O45" i="7" s="1"/>
  <c r="O44" i="7" a="1"/>
  <c r="O44" i="7" s="1"/>
  <c r="O43" i="7" a="1"/>
  <c r="O43" i="7" s="1"/>
  <c r="O42" i="7" a="1"/>
  <c r="O42" i="7" s="1"/>
  <c r="O41" i="7" a="1"/>
  <c r="O41" i="7" s="1"/>
  <c r="O40" i="7" a="1"/>
  <c r="O40" i="7" s="1"/>
  <c r="O39" i="7" a="1"/>
  <c r="O39" i="7" s="1"/>
  <c r="O38" i="7" a="1"/>
  <c r="O38" i="7" s="1"/>
  <c r="O37" i="7" a="1"/>
  <c r="O37" i="7" s="1"/>
  <c r="O36" i="7" a="1"/>
  <c r="O36" i="7" s="1"/>
  <c r="O3" i="7" a="1"/>
  <c r="O3" i="7" s="1"/>
  <c r="Y3" i="7" s="1"/>
  <c r="O23" i="7" a="1"/>
  <c r="O23" i="7" s="1"/>
  <c r="Y23" i="7" s="1"/>
  <c r="O22" i="7" a="1"/>
  <c r="O22" i="7" s="1"/>
  <c r="Y22" i="7" s="1"/>
  <c r="O19" i="7" a="1"/>
  <c r="O19" i="7" s="1"/>
  <c r="Y19" i="7" s="1"/>
  <c r="O9" i="7" a="1"/>
  <c r="O9" i="7" s="1"/>
  <c r="Y9" i="7" s="1"/>
  <c r="O12" i="7" a="1"/>
  <c r="O12" i="7" s="1"/>
  <c r="Y12" i="7" s="1"/>
  <c r="O21" i="7" a="1"/>
  <c r="O21" i="7" s="1"/>
  <c r="Y21" i="7" s="1"/>
  <c r="O10" i="7" a="1"/>
  <c r="O10" i="7" s="1"/>
  <c r="Y10" i="7" s="1"/>
  <c r="O6" i="7" a="1"/>
  <c r="O6" i="7" s="1"/>
  <c r="Y6" i="7" s="1"/>
  <c r="O28" i="7" a="1"/>
  <c r="O28" i="7" s="1"/>
  <c r="Y28" i="7" s="1"/>
  <c r="O26" i="7" a="1"/>
  <c r="O26" i="7" s="1"/>
  <c r="Y26" i="7" s="1"/>
  <c r="O27" i="7" a="1"/>
  <c r="O27" i="7" s="1"/>
  <c r="Y27" i="7" s="1"/>
  <c r="O31" i="7" a="1"/>
  <c r="O31" i="7" s="1"/>
  <c r="Y31" i="7" s="1"/>
  <c r="O11" i="7" a="1"/>
  <c r="O11" i="7" s="1"/>
  <c r="Y11" i="7" s="1"/>
  <c r="O15" i="7" a="1"/>
  <c r="O15" i="7" s="1"/>
  <c r="Y15" i="7" s="1"/>
  <c r="O17" i="7" a="1"/>
  <c r="O17" i="7" s="1"/>
  <c r="Y17" i="7" s="1"/>
  <c r="O14" i="7" a="1"/>
  <c r="O14" i="7" s="1"/>
  <c r="Y14" i="7" s="1"/>
  <c r="O20" i="7" a="1"/>
  <c r="O20" i="7" s="1"/>
  <c r="Y20" i="7" s="1"/>
  <c r="O5" i="7" a="1"/>
  <c r="O5" i="7" s="1"/>
  <c r="Y5" i="7" s="1"/>
  <c r="O32" i="7" a="1"/>
  <c r="O32" i="7" s="1"/>
  <c r="Y32" i="7" s="1"/>
  <c r="O29" i="7" a="1"/>
  <c r="O29" i="7" s="1"/>
  <c r="Y29" i="7" s="1"/>
  <c r="O8" i="7" a="1"/>
  <c r="O8" i="7" s="1"/>
  <c r="Y8" i="7" s="1"/>
  <c r="O30" i="7" a="1"/>
  <c r="O30" i="7" s="1"/>
  <c r="Y30" i="7" s="1"/>
  <c r="O13" i="7" a="1"/>
  <c r="O13" i="7" s="1"/>
  <c r="Y13" i="7" s="1"/>
  <c r="O25" i="7" a="1"/>
  <c r="O25" i="7" s="1"/>
  <c r="Y25" i="7" s="1"/>
  <c r="O24" i="7" a="1"/>
  <c r="O24" i="7" s="1"/>
  <c r="Y24" i="7" s="1"/>
  <c r="O16" i="7" a="1"/>
  <c r="O16" i="7" s="1"/>
  <c r="Y16" i="7" s="1"/>
  <c r="O18" i="7" a="1"/>
  <c r="O18" i="7" s="1"/>
  <c r="Y18" i="7" s="1"/>
  <c r="O7" i="7" a="1"/>
  <c r="O7" i="7" s="1"/>
  <c r="Y7" i="7" s="1"/>
  <c r="O4" i="7" a="1"/>
  <c r="O4" i="7" s="1"/>
  <c r="Y4" i="7" s="1"/>
  <c r="F10" i="8" l="1"/>
  <c r="G10" i="8" s="1" a="1"/>
  <c r="G10" i="8" s="1"/>
  <c r="F7" i="8"/>
  <c r="G7" i="8" s="1" a="1"/>
  <c r="G7" i="8" s="1"/>
  <c r="F5" i="8"/>
  <c r="F4" i="8" s="1"/>
  <c r="G4" i="8" s="1" a="1"/>
  <c r="G4" i="8" s="1"/>
  <c r="F9" i="8"/>
  <c r="F6" i="8" l="1"/>
  <c r="G6" i="8" s="1" a="1"/>
  <c r="G6" i="8" s="1"/>
  <c r="G5" i="8" a="1"/>
  <c r="G5" i="8" s="1"/>
  <c r="F8" i="8"/>
  <c r="G8" i="8" s="1" a="1"/>
  <c r="G8" i="8" s="1"/>
  <c r="G9" i="8" a="1"/>
  <c r="G9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Skjødt</author>
  </authors>
  <commentList>
    <comment ref="B1" authorId="0" shapeId="0" xr:uid="{E24B1B22-9533-47AC-B760-F101ADD68634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Task description, e.g. 'describe detailed workflow'</t>
        </r>
      </text>
    </comment>
    <comment ref="C1" authorId="0" shapeId="0" xr:uid="{96ACFEF1-E3D9-493F-944A-8BE2FCAFAD18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Responsible for task</t>
        </r>
      </text>
    </comment>
    <comment ref="D1" authorId="0" shapeId="0" xr:uid="{80746A07-1233-43AD-854A-248BFD8B8BD5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Comment on the task, e.g. link to the solution or a short description</t>
        </r>
      </text>
    </comment>
    <comment ref="E1" authorId="0" shapeId="0" xr:uid="{E74B3D40-2A60-4A59-A629-8B412E2C045C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Is task performed - indicate by 'X'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Skjødt</author>
  </authors>
  <commentList>
    <comment ref="C1" authorId="0" shapeId="0" xr:uid="{25D4B2E7-2B9F-483C-A527-D22882AD8A41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If workflow is performed in a single day then note day 0</t>
        </r>
      </text>
    </comment>
    <comment ref="D1" authorId="0" shapeId="0" xr:uid="{33A74CD4-A2D2-4402-A7C1-938E36627619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Describe workflow element, e.g. 'pH measurement'</t>
        </r>
      </text>
    </comment>
    <comment ref="E1" authorId="0" shapeId="0" xr:uid="{29359AFD-E483-4988-96BB-CB0608971E52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Indicate where the data is coming from, e.g. a comment originates from 'technician', cell count data originates from 'vicell xr'</t>
        </r>
      </text>
    </comment>
    <comment ref="F1" authorId="0" shapeId="0" xr:uid="{53FF217A-292D-4564-8D75-E408B82C01B8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Indicate how data is transferred from the data source
</t>
        </r>
        <r>
          <rPr>
            <b/>
            <sz val="9"/>
            <color indexed="81"/>
            <rFont val="Tahoma"/>
            <family val="2"/>
          </rPr>
          <t>manual:</t>
        </r>
        <r>
          <rPr>
            <sz val="9"/>
            <color indexed="81"/>
            <rFont val="Tahoma"/>
            <family val="2"/>
          </rPr>
          <t xml:space="preserve"> e.g. copy/pasted manually
</t>
        </r>
        <r>
          <rPr>
            <b/>
            <sz val="9"/>
            <color indexed="81"/>
            <rFont val="Tahoma"/>
            <family val="2"/>
          </rPr>
          <t>data_source:</t>
        </r>
        <r>
          <rPr>
            <sz val="9"/>
            <color indexed="81"/>
            <rFont val="Tahoma"/>
            <family val="2"/>
          </rPr>
          <t xml:space="preserve"> data is machine output
</t>
        </r>
        <r>
          <rPr>
            <b/>
            <sz val="9"/>
            <color indexed="81"/>
            <rFont val="Tahoma"/>
            <family val="2"/>
          </rPr>
          <t>workflow:</t>
        </r>
        <r>
          <rPr>
            <sz val="9"/>
            <color indexed="81"/>
            <rFont val="Tahoma"/>
            <family val="2"/>
          </rPr>
          <t xml:space="preserve"> processed data is exported from Mimer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Skjødt</author>
  </authors>
  <commentList>
    <comment ref="D1" authorId="0" shapeId="0" xr:uid="{E85728F4-2269-4D5D-834D-14383782207B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Describe workflow element, e.g. 'pH measurement'
Unique workflow elements are transferred from Map-tab</t>
        </r>
      </text>
    </comment>
    <comment ref="E1" authorId="0" shapeId="0" xr:uid="{23E77133-5CCB-4770-AEA1-A8CA7F3603AE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Indicate where the data is coming from, e.g. a comment originates from 'technician', cell count data originates from 'vicell xr'
Unique data sources are transferred from Map-tab</t>
        </r>
      </text>
    </comment>
    <comment ref="F1" authorId="0" shapeId="0" xr:uid="{27EADA8E-C038-489C-9C1D-865C7E035440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Indicate how data is transferred from the data source
</t>
        </r>
        <r>
          <rPr>
            <b/>
            <sz val="9"/>
            <color indexed="81"/>
            <rFont val="Tahoma"/>
            <family val="2"/>
          </rPr>
          <t>manual:</t>
        </r>
        <r>
          <rPr>
            <sz val="9"/>
            <color indexed="81"/>
            <rFont val="Tahoma"/>
            <family val="2"/>
          </rPr>
          <t xml:space="preserve"> e.g. copy/pasted manually
</t>
        </r>
        <r>
          <rPr>
            <b/>
            <sz val="9"/>
            <color indexed="81"/>
            <rFont val="Tahoma"/>
            <family val="2"/>
          </rPr>
          <t>data_source:</t>
        </r>
        <r>
          <rPr>
            <sz val="9"/>
            <color indexed="81"/>
            <rFont val="Tahoma"/>
            <family val="2"/>
          </rPr>
          <t xml:space="preserve"> data is machine output
</t>
        </r>
        <r>
          <rPr>
            <b/>
            <sz val="9"/>
            <color indexed="81"/>
            <rFont val="Tahoma"/>
            <family val="2"/>
          </rPr>
          <t>workflow:</t>
        </r>
        <r>
          <rPr>
            <sz val="9"/>
            <color indexed="81"/>
            <rFont val="Tahoma"/>
            <family val="2"/>
          </rPr>
          <t xml:space="preserve"> processed data is exported from Mimer
Data transfer methods associated with unique data sources are transferred from Map-tab
</t>
        </r>
      </text>
    </comment>
    <comment ref="G1" authorId="0" shapeId="0" xr:uid="{593F3DA6-BE79-457B-B423-195EFCC6BBA5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What is the </t>
        </r>
        <r>
          <rPr>
            <b/>
            <sz val="9"/>
            <color indexed="81"/>
            <rFont val="Tahoma"/>
            <family val="2"/>
          </rPr>
          <t>concise goal</t>
        </r>
        <r>
          <rPr>
            <sz val="9"/>
            <color indexed="81"/>
            <rFont val="Tahoma"/>
            <family val="2"/>
          </rPr>
          <t xml:space="preserve"> of the workflow element, as stated by SME</t>
        </r>
      </text>
    </comment>
    <comment ref="H1" authorId="0" shapeId="0" xr:uid="{E7817A26-CCA4-42AF-B2AD-90B7BA95CBD2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SME:</t>
        </r>
        <r>
          <rPr>
            <sz val="9"/>
            <color indexed="81"/>
            <rFont val="Tahoma"/>
            <family val="2"/>
          </rPr>
          <t xml:space="preserve"> What is the current automation level?
</t>
        </r>
        <r>
          <rPr>
            <b/>
            <sz val="9"/>
            <color indexed="81"/>
            <rFont val="Tahoma"/>
            <family val="2"/>
          </rPr>
          <t>not used:</t>
        </r>
        <r>
          <rPr>
            <sz val="9"/>
            <color indexed="81"/>
            <rFont val="Tahoma"/>
            <family val="2"/>
          </rPr>
          <t xml:space="preserve"> We have the raw data but do not use it.
</t>
        </r>
        <r>
          <rPr>
            <b/>
            <sz val="9"/>
            <color indexed="81"/>
            <rFont val="Tahoma"/>
            <family val="2"/>
          </rPr>
          <t xml:space="preserve">manual: </t>
        </r>
        <r>
          <rPr>
            <sz val="9"/>
            <color indexed="81"/>
            <rFont val="Tahoma"/>
            <family val="2"/>
          </rPr>
          <t xml:space="preserve">We transfer and transform data manually
</t>
        </r>
        <r>
          <rPr>
            <b/>
            <sz val="9"/>
            <color indexed="81"/>
            <rFont val="Tahoma"/>
            <family val="2"/>
          </rPr>
          <t xml:space="preserve">semi-automated: </t>
        </r>
        <r>
          <rPr>
            <sz val="9"/>
            <color indexed="81"/>
            <rFont val="Tahoma"/>
            <family val="2"/>
          </rPr>
          <t xml:space="preserve">We transfer and transform data by e.g. a macro
</t>
        </r>
        <r>
          <rPr>
            <b/>
            <sz val="9"/>
            <color indexed="81"/>
            <rFont val="Tahoma"/>
            <family val="2"/>
          </rPr>
          <t xml:space="preserve">automated: </t>
        </r>
        <r>
          <rPr>
            <sz val="9"/>
            <color indexed="81"/>
            <rFont val="Tahoma"/>
            <family val="2"/>
          </rPr>
          <t>Data is automatically transferred and transformed</t>
        </r>
      </text>
    </comment>
    <comment ref="I1" authorId="0" shapeId="0" xr:uid="{D0701A5C-25D1-441A-8C49-723DAEFBFC79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SME: </t>
        </r>
        <r>
          <rPr>
            <sz val="9"/>
            <color indexed="81"/>
            <rFont val="Tahoma"/>
            <family val="2"/>
          </rPr>
          <t xml:space="preserve">How difficult is it currently to transfer and transform your data to your analytical needs
</t>
        </r>
        <r>
          <rPr>
            <b/>
            <sz val="9"/>
            <color indexed="81"/>
            <rFont val="Tahoma"/>
            <family val="2"/>
          </rPr>
          <t xml:space="preserve">easy: </t>
        </r>
        <r>
          <rPr>
            <sz val="9"/>
            <color indexed="81"/>
            <rFont val="Tahoma"/>
            <family val="2"/>
          </rPr>
          <t xml:space="preserve">data is ready for analysis
</t>
        </r>
        <r>
          <rPr>
            <b/>
            <sz val="9"/>
            <color indexed="81"/>
            <rFont val="Tahoma"/>
            <family val="2"/>
          </rPr>
          <t xml:space="preserve">
acceptable: </t>
        </r>
        <r>
          <rPr>
            <sz val="9"/>
            <color indexed="81"/>
            <rFont val="Tahoma"/>
            <family val="2"/>
          </rPr>
          <t xml:space="preserve">data requires minor transformation to be ready for analysis
</t>
        </r>
        <r>
          <rPr>
            <b/>
            <sz val="9"/>
            <color indexed="81"/>
            <rFont val="Tahoma"/>
            <family val="2"/>
          </rPr>
          <t xml:space="preserve">
difficult:</t>
        </r>
        <r>
          <rPr>
            <sz val="9"/>
            <color indexed="81"/>
            <rFont val="Tahoma"/>
            <family val="2"/>
          </rPr>
          <t xml:space="preserve"> Data requires extensive transformation by SME before analysis - possible, but takes time
</t>
        </r>
        <r>
          <rPr>
            <b/>
            <sz val="9"/>
            <color indexed="81"/>
            <rFont val="Tahoma"/>
            <family val="2"/>
          </rPr>
          <t xml:space="preserve">
very difficult: </t>
        </r>
        <r>
          <rPr>
            <sz val="9"/>
            <color indexed="81"/>
            <rFont val="Tahoma"/>
            <family val="2"/>
          </rPr>
          <t>Data requires extensive and difficult transformation, and may not be currently worth it</t>
        </r>
      </text>
    </comment>
    <comment ref="J1" authorId="0" shapeId="0" xr:uid="{35C39685-D3D8-4430-B441-7E3DE624F871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SME: </t>
        </r>
        <r>
          <rPr>
            <sz val="9"/>
            <color indexed="81"/>
            <rFont val="Tahoma"/>
            <family val="2"/>
          </rPr>
          <t xml:space="preserve">Consider the quality level of the data you receive from different sources:
</t>
        </r>
        <r>
          <rPr>
            <b/>
            <sz val="9"/>
            <color indexed="81"/>
            <rFont val="Tahoma"/>
            <family val="2"/>
          </rPr>
          <t xml:space="preserve">
Poor: </t>
        </r>
        <r>
          <rPr>
            <sz val="9"/>
            <color indexed="81"/>
            <rFont val="Tahoma"/>
            <family val="2"/>
          </rPr>
          <t xml:space="preserve">Data of the same type and origin comes in many different formats and with lacking review quality
</t>
        </r>
        <r>
          <rPr>
            <b/>
            <sz val="9"/>
            <color indexed="81"/>
            <rFont val="Tahoma"/>
            <family val="2"/>
          </rPr>
          <t xml:space="preserve">
Acceptable:</t>
        </r>
        <r>
          <rPr>
            <sz val="9"/>
            <color indexed="81"/>
            <rFont val="Tahoma"/>
            <family val="2"/>
          </rPr>
          <t xml:space="preserve"> Data of the same type and origin comes different formats and with acceptable review quality
</t>
        </r>
        <r>
          <rPr>
            <b/>
            <sz val="9"/>
            <color indexed="81"/>
            <rFont val="Tahoma"/>
            <family val="2"/>
          </rPr>
          <t>Good:</t>
        </r>
        <r>
          <rPr>
            <sz val="9"/>
            <color indexed="81"/>
            <rFont val="Tahoma"/>
            <family val="2"/>
          </rPr>
          <t xml:space="preserve"> Data of the same type and origin comes in few different formats and with good review quality
</t>
        </r>
        <r>
          <rPr>
            <b/>
            <sz val="9"/>
            <color indexed="81"/>
            <rFont val="Tahoma"/>
            <family val="2"/>
          </rPr>
          <t>Excellent:</t>
        </r>
        <r>
          <rPr>
            <sz val="9"/>
            <color indexed="81"/>
            <rFont val="Tahoma"/>
            <family val="2"/>
          </rPr>
          <t xml:space="preserve"> Data of the same type and origin is delivered in the same format and with high review quality
</t>
        </r>
      </text>
    </comment>
    <comment ref="K1" authorId="0" shapeId="0" xr:uid="{6EA40212-BC71-4835-8664-03313AE06D7B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SME: </t>
        </r>
        <r>
          <rPr>
            <sz val="9"/>
            <color indexed="81"/>
            <rFont val="Tahoma"/>
            <family val="2"/>
          </rPr>
          <t xml:space="preserve">Is the user story solution a </t>
        </r>
        <r>
          <rPr>
            <b/>
            <sz val="9"/>
            <color indexed="81"/>
            <rFont val="Tahoma"/>
            <family val="2"/>
          </rPr>
          <t>must have</t>
        </r>
        <r>
          <rPr>
            <sz val="9"/>
            <color indexed="81"/>
            <rFont val="Tahoma"/>
            <family val="2"/>
          </rPr>
          <t xml:space="preserve"> for the workflow to work as intended?
Or is the user story a </t>
        </r>
        <r>
          <rPr>
            <b/>
            <sz val="9"/>
            <color indexed="81"/>
            <rFont val="Tahoma"/>
            <family val="2"/>
          </rPr>
          <t>delighter</t>
        </r>
        <r>
          <rPr>
            <sz val="9"/>
            <color indexed="81"/>
            <rFont val="Tahoma"/>
            <family val="2"/>
          </rPr>
          <t xml:space="preserve">, which is non-essential but e.g. an increase to user friendliness </t>
        </r>
      </text>
    </comment>
    <comment ref="L1" authorId="0" shapeId="0" xr:uid="{EDE2B1C9-180A-43C2-AD64-157CB0B58B4D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Which area is responsiblefor the solution
</t>
        </r>
        <r>
          <rPr>
            <b/>
            <sz val="9"/>
            <color indexed="81"/>
            <rFont val="Tahoma"/>
            <family val="2"/>
          </rPr>
          <t xml:space="preserve">
backend:</t>
        </r>
        <r>
          <rPr>
            <sz val="9"/>
            <color indexed="81"/>
            <rFont val="Tahoma"/>
            <family val="2"/>
          </rPr>
          <t xml:space="preserve"> data engineering team
</t>
        </r>
        <r>
          <rPr>
            <b/>
            <sz val="9"/>
            <color indexed="81"/>
            <rFont val="Tahoma"/>
            <family val="2"/>
          </rPr>
          <t xml:space="preserve">databricks: </t>
        </r>
        <r>
          <rPr>
            <sz val="9"/>
            <color indexed="81"/>
            <rFont val="Tahoma"/>
            <family val="2"/>
          </rPr>
          <t xml:space="preserve">data engineering team
</t>
        </r>
        <r>
          <rPr>
            <b/>
            <sz val="9"/>
            <color indexed="81"/>
            <rFont val="Tahoma"/>
            <family val="2"/>
          </rPr>
          <t>manual:</t>
        </r>
        <r>
          <rPr>
            <sz val="9"/>
            <color indexed="81"/>
            <rFont val="Tahoma"/>
            <family val="2"/>
          </rPr>
          <t xml:space="preserve"> user (SME)
</t>
        </r>
        <r>
          <rPr>
            <b/>
            <sz val="9"/>
            <color indexed="81"/>
            <rFont val="Tahoma"/>
            <family val="2"/>
          </rPr>
          <t>not relevant:</t>
        </r>
        <r>
          <rPr>
            <sz val="9"/>
            <color indexed="81"/>
            <rFont val="Tahoma"/>
            <family val="2"/>
          </rPr>
          <t xml:space="preserve"> not applicable for Mimer
</t>
        </r>
        <r>
          <rPr>
            <b/>
            <sz val="9"/>
            <color indexed="81"/>
            <rFont val="Tahoma"/>
            <family val="2"/>
          </rPr>
          <t>user interface:</t>
        </r>
        <r>
          <rPr>
            <sz val="9"/>
            <color indexed="81"/>
            <rFont val="Tahoma"/>
            <family val="2"/>
          </rPr>
          <t xml:space="preserve"> data engineering team</t>
        </r>
      </text>
    </comment>
    <comment ref="M1" authorId="0" shapeId="0" xr:uid="{EBC9F833-6D19-4FCA-BB81-EFEDAF4A8672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Data engineer:</t>
        </r>
        <r>
          <rPr>
            <sz val="9"/>
            <color indexed="81"/>
            <rFont val="Tahoma"/>
            <family val="2"/>
          </rPr>
          <t xml:space="preserve"> Comment on how to solve. This comment will be expanded to technical solutions in the appropriate area.</t>
        </r>
      </text>
    </comment>
    <comment ref="R1" authorId="0" shapeId="0" xr:uid="{483F42F0-8148-40AC-8EE6-787B6CCD78E9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SME:</t>
        </r>
        <r>
          <rPr>
            <sz val="9"/>
            <color indexed="81"/>
            <rFont val="Tahoma"/>
            <family val="2"/>
          </rPr>
          <t xml:space="preserve"> What is the automation level </t>
        </r>
        <r>
          <rPr>
            <b/>
            <sz val="9"/>
            <color indexed="81"/>
            <rFont val="Tahoma"/>
            <family val="2"/>
          </rPr>
          <t>after implementation in Mimer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b/>
            <sz val="9"/>
            <color indexed="81"/>
            <rFont val="Tahoma"/>
            <family val="2"/>
          </rPr>
          <t>not used:</t>
        </r>
        <r>
          <rPr>
            <sz val="9"/>
            <color indexed="81"/>
            <rFont val="Tahoma"/>
            <family val="2"/>
          </rPr>
          <t xml:space="preserve"> We have the raw data but do not use it.
</t>
        </r>
        <r>
          <rPr>
            <b/>
            <sz val="9"/>
            <color indexed="81"/>
            <rFont val="Tahoma"/>
            <family val="2"/>
          </rPr>
          <t xml:space="preserve">manual: </t>
        </r>
        <r>
          <rPr>
            <sz val="9"/>
            <color indexed="81"/>
            <rFont val="Tahoma"/>
            <family val="2"/>
          </rPr>
          <t xml:space="preserve">We transfer and transform data manually
</t>
        </r>
        <r>
          <rPr>
            <b/>
            <sz val="9"/>
            <color indexed="81"/>
            <rFont val="Tahoma"/>
            <family val="2"/>
          </rPr>
          <t xml:space="preserve">semi-automated: </t>
        </r>
        <r>
          <rPr>
            <sz val="9"/>
            <color indexed="81"/>
            <rFont val="Tahoma"/>
            <family val="2"/>
          </rPr>
          <t xml:space="preserve">We transfer and transform data by e.g. a macro
</t>
        </r>
        <r>
          <rPr>
            <b/>
            <sz val="9"/>
            <color indexed="81"/>
            <rFont val="Tahoma"/>
            <family val="2"/>
          </rPr>
          <t xml:space="preserve">automated: </t>
        </r>
        <r>
          <rPr>
            <sz val="9"/>
            <color indexed="81"/>
            <rFont val="Tahoma"/>
            <family val="2"/>
          </rPr>
          <t>Data is automatically transferred and transformed</t>
        </r>
      </text>
    </comment>
    <comment ref="S1" authorId="0" shapeId="0" xr:uid="{9929AC08-4983-48D6-9D78-112B822A942B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SME: </t>
        </r>
        <r>
          <rPr>
            <sz val="9"/>
            <color indexed="81"/>
            <rFont val="Tahoma"/>
            <family val="2"/>
          </rPr>
          <t xml:space="preserve">How difficult is it to transfer and transform your data to your analytical needs </t>
        </r>
        <r>
          <rPr>
            <b/>
            <sz val="9"/>
            <color indexed="81"/>
            <rFont val="Tahoma"/>
            <family val="2"/>
          </rPr>
          <t>after implementation in Mimer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b/>
            <sz val="9"/>
            <color indexed="81"/>
            <rFont val="Tahoma"/>
            <family val="2"/>
          </rPr>
          <t xml:space="preserve">easy: </t>
        </r>
        <r>
          <rPr>
            <sz val="9"/>
            <color indexed="81"/>
            <rFont val="Tahoma"/>
            <family val="2"/>
          </rPr>
          <t xml:space="preserve">data is ready for analysis
</t>
        </r>
        <r>
          <rPr>
            <b/>
            <sz val="9"/>
            <color indexed="81"/>
            <rFont val="Tahoma"/>
            <family val="2"/>
          </rPr>
          <t xml:space="preserve">
acceptable: </t>
        </r>
        <r>
          <rPr>
            <sz val="9"/>
            <color indexed="81"/>
            <rFont val="Tahoma"/>
            <family val="2"/>
          </rPr>
          <t xml:space="preserve">data requires minor transformation to be ready for analysis
</t>
        </r>
        <r>
          <rPr>
            <b/>
            <sz val="9"/>
            <color indexed="81"/>
            <rFont val="Tahoma"/>
            <family val="2"/>
          </rPr>
          <t xml:space="preserve">
difficult:</t>
        </r>
        <r>
          <rPr>
            <sz val="9"/>
            <color indexed="81"/>
            <rFont val="Tahoma"/>
            <family val="2"/>
          </rPr>
          <t xml:space="preserve"> Data requires extensive transformation by SME before analysis - possible, but takes time
</t>
        </r>
        <r>
          <rPr>
            <b/>
            <sz val="9"/>
            <color indexed="81"/>
            <rFont val="Tahoma"/>
            <family val="2"/>
          </rPr>
          <t xml:space="preserve">
very difficult: </t>
        </r>
        <r>
          <rPr>
            <sz val="9"/>
            <color indexed="81"/>
            <rFont val="Tahoma"/>
            <family val="2"/>
          </rPr>
          <t>Data requires extensive and difficult transformation, and may not be currently worth it</t>
        </r>
      </text>
    </comment>
    <comment ref="T1" authorId="0" shapeId="0" xr:uid="{906400E9-6535-487B-8C8E-67CA5D106447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SME: </t>
        </r>
        <r>
          <rPr>
            <sz val="9"/>
            <color indexed="81"/>
            <rFont val="Tahoma"/>
            <family val="2"/>
          </rPr>
          <t xml:space="preserve">Consider the quality level of the data you receive from different sources </t>
        </r>
        <r>
          <rPr>
            <b/>
            <sz val="9"/>
            <color indexed="81"/>
            <rFont val="Tahoma"/>
            <family val="2"/>
          </rPr>
          <t>after implementation in Mime</t>
        </r>
        <r>
          <rPr>
            <sz val="9"/>
            <color indexed="81"/>
            <rFont val="Tahoma"/>
            <family val="2"/>
          </rPr>
          <t xml:space="preserve">r:
</t>
        </r>
        <r>
          <rPr>
            <b/>
            <sz val="9"/>
            <color indexed="81"/>
            <rFont val="Tahoma"/>
            <family val="2"/>
          </rPr>
          <t xml:space="preserve">
Poor: </t>
        </r>
        <r>
          <rPr>
            <sz val="9"/>
            <color indexed="81"/>
            <rFont val="Tahoma"/>
            <family val="2"/>
          </rPr>
          <t xml:space="preserve">Data of the same type and origin comes in many different formats and with lacking review quality
</t>
        </r>
        <r>
          <rPr>
            <b/>
            <sz val="9"/>
            <color indexed="81"/>
            <rFont val="Tahoma"/>
            <family val="2"/>
          </rPr>
          <t xml:space="preserve">
Acceptable:</t>
        </r>
        <r>
          <rPr>
            <sz val="9"/>
            <color indexed="81"/>
            <rFont val="Tahoma"/>
            <family val="2"/>
          </rPr>
          <t xml:space="preserve"> Data of the same type and origin comes different formats and with acceptable review quality
</t>
        </r>
        <r>
          <rPr>
            <b/>
            <sz val="9"/>
            <color indexed="81"/>
            <rFont val="Tahoma"/>
            <family val="2"/>
          </rPr>
          <t>Good:</t>
        </r>
        <r>
          <rPr>
            <sz val="9"/>
            <color indexed="81"/>
            <rFont val="Tahoma"/>
            <family val="2"/>
          </rPr>
          <t xml:space="preserve"> Data of the same type and origin comes in few different formats and with good review quality
</t>
        </r>
        <r>
          <rPr>
            <b/>
            <sz val="9"/>
            <color indexed="81"/>
            <rFont val="Tahoma"/>
            <family val="2"/>
          </rPr>
          <t>Excellent:</t>
        </r>
        <r>
          <rPr>
            <sz val="9"/>
            <color indexed="81"/>
            <rFont val="Tahoma"/>
            <family val="2"/>
          </rPr>
          <t xml:space="preserve"> Data of the same type and origin is delivered in the same format and with high review quality
</t>
        </r>
      </text>
    </comment>
    <comment ref="X1" authorId="0" shapeId="0" xr:uid="{2A391226-F511-468C-9982-1E7769A72815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calculates increase in automation after Mimer implementation in %</t>
        </r>
      </text>
    </comment>
    <comment ref="Y1" authorId="0" shapeId="0" xr:uid="{8522F409-EF50-45E1-BF6C-CA24539016C5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Calculates difficulty reduction after Mimer implementation in %</t>
        </r>
      </text>
    </comment>
    <comment ref="Z1" authorId="0" shapeId="0" xr:uid="{0C6BB543-5618-45E8-A405-AF88257F7A92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Calculates data quality increase after Mimer implementation in %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<sst xmlns="http://schemas.openxmlformats.org/spreadsheetml/2006/main" count="1174" uniqueCount="212">
  <si>
    <t>workflow name:</t>
  </si>
  <si>
    <t>data_sources</t>
  </si>
  <si>
    <t>Data_source</t>
  </si>
  <si>
    <t>Data transfer</t>
  </si>
  <si>
    <t>statistics</t>
  </si>
  <si>
    <t>average</t>
  </si>
  <si>
    <t>translation</t>
  </si>
  <si>
    <t>current automation level</t>
  </si>
  <si>
    <t>automation potential</t>
  </si>
  <si>
    <t>difficulty</t>
  </si>
  <si>
    <t>difficulty reduction potential</t>
  </si>
  <si>
    <t>current data quality</t>
  </si>
  <si>
    <t>data quality increase potential</t>
  </si>
  <si>
    <t>estimated task size</t>
  </si>
  <si>
    <t>Workflow</t>
  </si>
  <si>
    <t>Who</t>
  </si>
  <si>
    <t>Comment</t>
  </si>
  <si>
    <t>#</t>
  </si>
  <si>
    <t>Day</t>
  </si>
  <si>
    <t>Workflow element</t>
  </si>
  <si>
    <t>User story</t>
  </si>
  <si>
    <t>Solution Category</t>
  </si>
  <si>
    <t>Solution intent</t>
  </si>
  <si>
    <t>jmp or excel</t>
  </si>
  <si>
    <t>manual</t>
  </si>
  <si>
    <t>analysis request</t>
  </si>
  <si>
    <t>technician</t>
  </si>
  <si>
    <t>tanaros</t>
  </si>
  <si>
    <t>abl80</t>
  </si>
  <si>
    <t>data_source</t>
  </si>
  <si>
    <t>mimer</t>
  </si>
  <si>
    <t>seed train workflow</t>
  </si>
  <si>
    <t>vicell</t>
  </si>
  <si>
    <t>cedex</t>
  </si>
  <si>
    <t>workflow</t>
  </si>
  <si>
    <t>downstream workflow</t>
  </si>
  <si>
    <t>asup workflow</t>
  </si>
  <si>
    <t>easy</t>
  </si>
  <si>
    <t>excellent</t>
  </si>
  <si>
    <t>not relevant</t>
  </si>
  <si>
    <t>acceptable</t>
  </si>
  <si>
    <t>difficult</t>
  </si>
  <si>
    <t>not used</t>
  </si>
  <si>
    <t>very difficult</t>
  </si>
  <si>
    <t>user interface</t>
  </si>
  <si>
    <t>good</t>
  </si>
  <si>
    <t>semi-automated</t>
  </si>
  <si>
    <t>yes</t>
  </si>
  <si>
    <t>poor</t>
  </si>
  <si>
    <t>postponed</t>
  </si>
  <si>
    <t>Score</t>
  </si>
  <si>
    <t>yes/no</t>
  </si>
  <si>
    <t>automation level</t>
  </si>
  <si>
    <t>type</t>
  </si>
  <si>
    <t>solution category</t>
  </si>
  <si>
    <t>data quality</t>
  </si>
  <si>
    <t>no</t>
  </si>
  <si>
    <t>manual_input</t>
  </si>
  <si>
    <t>automated</t>
  </si>
  <si>
    <t>task size</t>
  </si>
  <si>
    <t>small</t>
  </si>
  <si>
    <t>medium</t>
  </si>
  <si>
    <t>large</t>
  </si>
  <si>
    <t>very large</t>
  </si>
  <si>
    <t>TBD</t>
  </si>
  <si>
    <t>ambr250</t>
  </si>
  <si>
    <t>design experiment</t>
  </si>
  <si>
    <t>program ambr250</t>
  </si>
  <si>
    <t>ambr250 definition software</t>
  </si>
  <si>
    <t>analysis request A#</t>
  </si>
  <si>
    <t>define metadata</t>
  </si>
  <si>
    <t>DO calibration</t>
  </si>
  <si>
    <t>media and rm lot numbers</t>
  </si>
  <si>
    <t>equipment numbers</t>
  </si>
  <si>
    <t>refer to associated labbooks</t>
  </si>
  <si>
    <t>tanaros numbers</t>
  </si>
  <si>
    <t>ambr250 data collection start</t>
  </si>
  <si>
    <t>pH, pCO2, pO2</t>
  </si>
  <si>
    <t>calculate media additions</t>
  </si>
  <si>
    <t>calculate seed for inoc</t>
  </si>
  <si>
    <t>inoculate</t>
  </si>
  <si>
    <t>cell count</t>
  </si>
  <si>
    <t>metabolites</t>
  </si>
  <si>
    <t>bioprofile</t>
  </si>
  <si>
    <t>metabolites and IgG</t>
  </si>
  <si>
    <t>comment</t>
  </si>
  <si>
    <t>ambr250 data export</t>
  </si>
  <si>
    <t>export data to external software</t>
  </si>
  <si>
    <t>glucose</t>
  </si>
  <si>
    <t>pCO2</t>
  </si>
  <si>
    <t>ambr250 final data report</t>
  </si>
  <si>
    <t>ambr250 full summary (.zip)</t>
  </si>
  <si>
    <t>create final data package (gold)</t>
  </si>
  <si>
    <t>deliver sample info to ASUP</t>
  </si>
  <si>
    <t>deliver sample info to downstream</t>
  </si>
  <si>
    <t>deliver sample to downstream</t>
  </si>
  <si>
    <t>downstream purification</t>
  </si>
  <si>
    <t>quality analysis</t>
  </si>
  <si>
    <t>export final dataset to external software</t>
  </si>
  <si>
    <t>Map detailed workflow</t>
  </si>
  <si>
    <t>JWA</t>
  </si>
  <si>
    <t>Approve this excel workbook</t>
  </si>
  <si>
    <t>X</t>
  </si>
  <si>
    <t>Define export data template</t>
  </si>
  <si>
    <t>Mimer data export defined
Mimer export settings defined</t>
  </si>
  <si>
    <t>Identify data sources</t>
  </si>
  <si>
    <t>Map!A1</t>
  </si>
  <si>
    <t>Identify demo experiment</t>
  </si>
  <si>
    <t>CSK</t>
  </si>
  <si>
    <t>JWA_00140
JWA_00146
JWA_00148</t>
  </si>
  <si>
    <t>Collect raw data package from experiment</t>
  </si>
  <si>
    <t>See Mimer portal</t>
  </si>
  <si>
    <t>System picture</t>
  </si>
  <si>
    <t>System picture for workflow record</t>
  </si>
  <si>
    <t>Discuss procedure for workflow SME interview</t>
  </si>
  <si>
    <t>Input for Mimer feature deep dive work instruction</t>
  </si>
  <si>
    <t>Data flow diagram current and desired</t>
  </si>
  <si>
    <t>2 x experiment data flow process diagram</t>
  </si>
  <si>
    <t>Deployment diagram current and desired</t>
  </si>
  <si>
    <t>2 x Physical experiment process diagram</t>
  </si>
  <si>
    <t>Write work instruction</t>
  </si>
  <si>
    <t>Scope, responsibilities, detailed workflow
Include data export template and export settings in ambr250 software</t>
  </si>
  <si>
    <t>Write GSP work instruction for SME deep dives</t>
  </si>
  <si>
    <t>KILG</t>
  </si>
  <si>
    <t>General WI for Mimer workflow mapping and feature deep dives</t>
  </si>
  <si>
    <t>Task</t>
  </si>
  <si>
    <t>Done [X]</t>
  </si>
  <si>
    <t>Mimer automation level</t>
  </si>
  <si>
    <t>Mimer difficulty</t>
  </si>
  <si>
    <t>Mimer data quality</t>
  </si>
  <si>
    <t>ongoing</t>
  </si>
  <si>
    <t>Job status</t>
  </si>
  <si>
    <t>not started</t>
  </si>
  <si>
    <t>approved</t>
  </si>
  <si>
    <t>N/A</t>
  </si>
  <si>
    <t>Workflow element priority</t>
  </si>
  <si>
    <t>nice to</t>
  </si>
  <si>
    <t>need to</t>
  </si>
  <si>
    <t>scientific scripting</t>
  </si>
  <si>
    <t>gold script</t>
  </si>
  <si>
    <t>Mimer difficulty difference</t>
  </si>
  <si>
    <t>Mimer data quality difference</t>
  </si>
  <si>
    <t>Mimer automation level difference</t>
  </si>
  <si>
    <t>Start automation level</t>
  </si>
  <si>
    <t>Start difficulty</t>
  </si>
  <si>
    <t>Start data quality</t>
  </si>
  <si>
    <t>Start automation level recoded</t>
  </si>
  <si>
    <t>Start difficulty recoded</t>
  </si>
  <si>
    <t>Start data quality recoded</t>
  </si>
  <si>
    <t>Mimer automation level recoded</t>
  </si>
  <si>
    <t>Mimer difficulty recoded</t>
  </si>
  <si>
    <t>Mimer data quality recoded</t>
  </si>
  <si>
    <t>bioprofile_flex2</t>
  </si>
  <si>
    <t>vicell_xr</t>
  </si>
  <si>
    <t>Department</t>
  </si>
  <si>
    <t>Scientific area</t>
  </si>
  <si>
    <t>DS</t>
  </si>
  <si>
    <t>cell_culture</t>
  </si>
  <si>
    <t>Upload abl80 raw data and join relevant results to workflow dataset</t>
  </si>
  <si>
    <t>Deliver pCO2 (abl80) level to ambr250 for pCO2 stripping calibration</t>
  </si>
  <si>
    <t>Begin data collection when media is added to bioreactor</t>
  </si>
  <si>
    <t>Upload bioprofile raw data and join relevant results to workflow dataset</t>
  </si>
  <si>
    <t>Deliver glucose level to ambr250 for glucose addition</t>
  </si>
  <si>
    <t>Upload cedex raw data and join relevant results to workflow dataset</t>
  </si>
  <si>
    <t>Link and join USP data to DSP data</t>
  </si>
  <si>
    <t>Input experiment parameters in workflow</t>
  </si>
  <si>
    <t>View overview of media calculations for workflow</t>
  </si>
  <si>
    <t>Analyze dataset during workflow generation</t>
  </si>
  <si>
    <t>Create dataset with all relevant aspects of workflow/experiment</t>
  </si>
  <si>
    <t>Provide metadata and crucial data for efficient ASUP sample analysis</t>
  </si>
  <si>
    <t>Provide metadata and crucial data for efficient DSP sample purification</t>
  </si>
  <si>
    <t>Analyze full dataset joined with DSP and ASUP data after workflow</t>
  </si>
  <si>
    <t>View overview of seed calculations for workflow</t>
  </si>
  <si>
    <t>Include all relevant tanaros ids in metadata for dataset linking</t>
  </si>
  <si>
    <t>Add metadata for dataset filtering and slicing</t>
  </si>
  <si>
    <t>Transfer data from paper to ambr250 for DO calibration</t>
  </si>
  <si>
    <t>Record raw material lot numbers for regulatory purposes</t>
  </si>
  <si>
    <t>Record equipment used during the experiment</t>
  </si>
  <si>
    <t>Link to associated workflows (e.g., ST leading up to FB)</t>
  </si>
  <si>
    <t>Inoculate bioreactors and set inoculation time as time zero</t>
  </si>
  <si>
    <t>Comment on data points or note general observations for workflow</t>
  </si>
  <si>
    <t>Deliver physical samples with info for purification and ASUP analysis</t>
  </si>
  <si>
    <t>Upload vicell raw data and join relevant results to workflow dataset</t>
  </si>
  <si>
    <t>Völve</t>
  </si>
  <si>
    <t>no script, only save</t>
  </si>
  <si>
    <t>inoculation script</t>
  </si>
  <si>
    <t>purification request</t>
  </si>
  <si>
    <t>cedex script</t>
  </si>
  <si>
    <t>abl80 script</t>
  </si>
  <si>
    <t>tanaros script</t>
  </si>
  <si>
    <t>multisheet</t>
  </si>
  <si>
    <t>observations</t>
  </si>
  <si>
    <t>vicell_xr script</t>
  </si>
  <si>
    <t>bioprofile_flex2 script</t>
  </si>
  <si>
    <t>vicell_blu</t>
  </si>
  <si>
    <t>vicell_blu script</t>
  </si>
  <si>
    <t>write labbook</t>
  </si>
  <si>
    <t>auto labbook</t>
  </si>
  <si>
    <t>cedex_bioht</t>
  </si>
  <si>
    <t>Upload raw data and join relevant results to workflow dataset</t>
  </si>
  <si>
    <t>Link dataset to analysis request # and associated data</t>
  </si>
  <si>
    <t>downstream</t>
  </si>
  <si>
    <t>jmp</t>
  </si>
  <si>
    <t>deliver sample info to CA</t>
  </si>
  <si>
    <t>Program system using experiment design</t>
  </si>
  <si>
    <t>Export daily data exports</t>
  </si>
  <si>
    <t>Upload raw data (.zip) to workflow space</t>
  </si>
  <si>
    <t>Join final data export to workflow dataset</t>
  </si>
  <si>
    <t>Report findings</t>
  </si>
  <si>
    <t>ambr250 script</t>
  </si>
  <si>
    <t>cedex_bioht script</t>
  </si>
  <si>
    <t>Link and join USP data to analytical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</si>
</sst>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 applyProtection="1">
      <alignment vertical="center"/>
      <protection locked="0"/>
    </xf>
    <xf numFmtId="0" fontId="0" fillId="4" borderId="0" xfId="0" applyFill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3" borderId="0" xfId="0" applyFill="1"/>
    <xf numFmtId="0" fontId="0" fillId="0" borderId="0" xfId="0" quotePrefix="1" applyAlignment="1">
      <alignment vertical="center"/>
    </xf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5" fillId="3" borderId="0" xfId="0" applyFont="1" applyFill="1" applyAlignment="1" applyProtection="1">
      <alignment vertical="center"/>
      <protection locked="0"/>
    </xf>
    <xf numFmtId="0" fontId="0" fillId="2" borderId="3" xfId="0" applyFill="1" applyBorder="1"/>
    <xf numFmtId="0" fontId="0" fillId="2" borderId="5" xfId="0" applyFill="1" applyBorder="1"/>
    <xf numFmtId="0" fontId="0" fillId="3" borderId="0" xfId="0" applyFill="1" applyAlignment="1" applyProtection="1">
      <alignment vertical="center" wrapText="1"/>
      <protection locked="0"/>
    </xf>
    <xf numFmtId="0" fontId="2" fillId="3" borderId="0" xfId="1" applyFill="1" applyAlignment="1" applyProtection="1">
      <alignment vertical="center" wrapText="1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64" fontId="0" fillId="2" borderId="0" xfId="0" applyNumberFormat="1" applyFill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5" borderId="2" xfId="0" applyFont="1" applyFill="1" applyBorder="1" applyAlignment="1">
      <alignment vertical="center"/>
    </xf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4" borderId="0" xfId="0" applyFill="1" applyAlignment="1">
      <alignment vertical="center"/>
    </xf>
    <xf numFmtId="0" fontId="1" fillId="2" borderId="0" xfId="0" applyFont="1" applyFill="1" applyAlignment="1" applyProtection="1">
      <alignment vertical="center"/>
      <protection locked="0"/>
    </xf>
    <xf numFmtId="0" fontId="0" fillId="5" borderId="0" xfId="0" applyFill="1"/>
    <xf numFmtId="0" fontId="1" fillId="2" borderId="0" xfId="0" applyFont="1" applyFill="1" applyAlignment="1" applyProtection="1">
      <alignment vertical="center" wrapText="1"/>
      <protection locked="0"/>
    </xf>
    <xf numFmtId="0" fontId="0" fillId="6" borderId="0" xfId="0" applyFill="1" applyAlignment="1" applyProtection="1">
      <alignment vertical="center"/>
      <protection locked="0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</xdr:colOff>
      <xdr:row>0</xdr:row>
      <xdr:rowOff>9525</xdr:rowOff>
    </xdr:from>
    <xdr:to>
      <xdr:col>8</xdr:col>
      <xdr:colOff>1790700</xdr:colOff>
      <xdr:row>0</xdr:row>
      <xdr:rowOff>561975</xdr:rowOff>
    </xdr:to>
    <xdr:sp macro="" textlink="">
      <xdr:nvSpPr>
        <xdr:cNvPr id="7172" name="Button 4" hidden="1">
          <a:extLst>
            <a:ext uri="{63B3BB69-23CF-44E3-9099-C40C66FF867C}">
              <a14:compatExt xmlns:a14="http://schemas.microsoft.com/office/drawing/2010/main" spid="_x0000_s7172"/>
            </a:ext>
            <a:ext uri="{FF2B5EF4-FFF2-40B4-BE49-F238E27FC236}">
              <a16:creationId xmlns:a16="http://schemas.microsoft.com/office/drawing/2014/main" id="{00000000-0008-0000-0200-000004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2: Transfer unique workflow elements to Summary</a:t>
          </a:r>
        </a:p>
      </xdr:txBody>
    </xdr:sp>
    <xdr:clientData fPrintsWithSheet="0"/>
  </xdr:twoCellAnchor>
  <xdr:twoCellAnchor>
    <xdr:from>
      <xdr:col>9</xdr:col>
      <xdr:colOff>21021</xdr:colOff>
      <xdr:row>0</xdr:row>
      <xdr:rowOff>99847</xdr:rowOff>
    </xdr:from>
    <xdr:to>
      <xdr:col>9</xdr:col>
      <xdr:colOff>585952</xdr:colOff>
      <xdr:row>0</xdr:row>
      <xdr:rowOff>513692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10800000">
          <a:off x="8777452" y="99847"/>
          <a:ext cx="564931" cy="41384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28575</xdr:colOff>
      <xdr:row>0</xdr:row>
      <xdr:rowOff>19050</xdr:rowOff>
    </xdr:from>
    <xdr:to>
      <xdr:col>7</xdr:col>
      <xdr:colOff>1781175</xdr:colOff>
      <xdr:row>0</xdr:row>
      <xdr:rowOff>561975</xdr:rowOff>
    </xdr:to>
    <xdr:sp macro="" textlink="">
      <xdr:nvSpPr>
        <xdr:cNvPr id="7174" name="Button 6" hidden="1">
          <a:extLst>
            <a:ext uri="{63B3BB69-23CF-44E3-9099-C40C66FF867C}">
              <a14:compatExt xmlns:a14="http://schemas.microsoft.com/office/drawing/2010/main" spid="_x0000_s7174"/>
            </a:ext>
            <a:ext uri="{FF2B5EF4-FFF2-40B4-BE49-F238E27FC236}">
              <a16:creationId xmlns:a16="http://schemas.microsoft.com/office/drawing/2014/main" id="{00000000-0008-0000-0200-000006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1: Transfer unique data sources to Overview</a:t>
          </a:r>
        </a:p>
      </xdr:txBody>
    </xdr:sp>
    <xdr:clientData fPrintsWithSheet="0"/>
  </xdr:twoCellAnchor>
  <xdr:twoCellAnchor>
    <xdr:from>
      <xdr:col>6</xdr:col>
      <xdr:colOff>21021</xdr:colOff>
      <xdr:row>0</xdr:row>
      <xdr:rowOff>99847</xdr:rowOff>
    </xdr:from>
    <xdr:to>
      <xdr:col>6</xdr:col>
      <xdr:colOff>585952</xdr:colOff>
      <xdr:row>0</xdr:row>
      <xdr:rowOff>513692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365499" y="99847"/>
          <a:ext cx="564931" cy="41384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9525</xdr:rowOff>
        </xdr:from>
        <xdr:to>
          <xdr:col>8</xdr:col>
          <xdr:colOff>1790700</xdr:colOff>
          <xdr:row>0</xdr:row>
          <xdr:rowOff>561975</xdr:rowOff>
        </xdr:to>
        <xdr:sp macro="" textlink="">
          <xdr:nvSpPr>
            <xdr:cNvPr id="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E1B45A34-5600-C5B7-2C71-BCB4CCF0D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2: Transfer unique workflow elements to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19050</xdr:rowOff>
        </xdr:from>
        <xdr:to>
          <xdr:col>7</xdr:col>
          <xdr:colOff>1781175</xdr:colOff>
          <xdr:row>0</xdr:row>
          <xdr:rowOff>561975</xdr:rowOff>
        </xdr:to>
        <xdr:sp macro="" textlink="">
          <xdr:nvSpPr>
            <xdr:cNvPr id="3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B0528A32-F58F-B76B-A8F2-6EDDB6DF5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1: Transfer unique data sources to Overview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5CD2F-57BC-4D04-BD5B-D9A4A044F1A4}">
  <sheetPr codeName="Sheet8">
    <tabColor theme="1"/>
  </sheetPr>
  <dimension ref="A1:G26"/>
  <sheetViews>
    <sheetView workbookViewId="0">
      <selection activeCell="C15" sqref="C15"/>
    </sheetView>
  </sheetViews>
  <sheetFormatPr defaultRowHeight="15" x14ac:dyDescent="0.25"/>
  <cols>
    <col min="1" max="1" width="15.5703125" bestFit="1" customWidth="1"/>
    <col min="2" max="3" width="40.7109375" customWidth="1"/>
    <col min="4" max="4" width="2.140625" customWidth="1"/>
    <col min="5" max="5" width="28.42578125" bestFit="1" customWidth="1"/>
    <col min="6" max="7" width="15.28515625" customWidth="1"/>
  </cols>
  <sheetData>
    <row r="1" spans="1:7" ht="45" customHeight="1" x14ac:dyDescent="0.25">
      <c r="A1" s="3" t="s">
        <v>0</v>
      </c>
      <c r="B1" s="19" t="s">
        <v>65</v>
      </c>
      <c r="E1" s="12"/>
    </row>
    <row r="2" spans="1:7" ht="15.75" thickBot="1" x14ac:dyDescent="0.3"/>
    <row r="3" spans="1:7" x14ac:dyDescent="0.25">
      <c r="A3" s="41" t="s">
        <v>1</v>
      </c>
      <c r="B3" s="30" t="s">
        <v>2</v>
      </c>
      <c r="C3" s="31" t="s">
        <v>3</v>
      </c>
      <c r="E3" s="16" t="s">
        <v>4</v>
      </c>
      <c r="F3" s="17" t="s">
        <v>5</v>
      </c>
      <c r="G3" s="18" t="s">
        <v>6</v>
      </c>
    </row>
    <row r="4" spans="1:7" x14ac:dyDescent="0.25">
      <c r="A4" s="42"/>
      <c r="B4" s="32" t="s">
        <v>28</v>
      </c>
      <c r="C4" s="33" t="s">
        <v>29</v>
      </c>
      <c r="E4" s="20" t="s">
        <v>7</v>
      </c>
      <c r="F4" s="26">
        <f>IFERROR(10-F5,"")</f>
        <v>5.9117647058823533</v>
      </c>
      <c r="G4" s="27" t="str" cm="1">
        <f t="array" ref="G4">IFERROR(_xlfn.IFS(F4 &lt; 4,"manual", AND(F4 &lt;= 7,F4 &gt; 4),"semi-automated", AND(F4 &lt;= 10,F4 &gt; 7),"automated"),"")</f>
        <v>semi-automated</v>
      </c>
    </row>
    <row r="5" spans="1:7" x14ac:dyDescent="0.25">
      <c r="A5" s="42"/>
      <c r="B5" s="32" t="s">
        <v>28</v>
      </c>
      <c r="C5" s="33" t="s">
        <v>24</v>
      </c>
      <c r="E5" s="20" t="s">
        <v>8</v>
      </c>
      <c r="F5" s="26">
        <f>IFERROR(AVERAGE(Summary!N2:N50),"")</f>
        <v>4.0882352941176467</v>
      </c>
      <c r="G5" s="27" t="str" cm="1">
        <f t="array" ref="G5">IFERROR(_xlfn.IFS(F5 &lt; 4,"low", AND(F5 &lt;= 7,F5 &gt; 4),"medium", AND(F5 &lt;= 10,F5 &gt; 7),"high"),"")</f>
        <v>medium</v>
      </c>
    </row>
    <row r="6" spans="1:7" x14ac:dyDescent="0.25">
      <c r="A6" s="42"/>
      <c r="B6" s="32" t="s">
        <v>65</v>
      </c>
      <c r="C6" s="33" t="s">
        <v>24</v>
      </c>
      <c r="E6" s="20" t="s">
        <v>9</v>
      </c>
      <c r="F6" s="26">
        <f>IFERROR(10-F7,"")</f>
        <v>5.2058823529411766</v>
      </c>
      <c r="G6" s="27" t="str" cm="1">
        <f t="array" ref="G6">IFERROR(_xlfn.IFS(F6 &lt; 4,"easy", AND(F6 &lt;= 7,F6 &gt; 4),"acceptable", AND(F6 &lt;= 10,F6 &gt; 7),"difficult"),"")</f>
        <v>acceptable</v>
      </c>
    </row>
    <row r="7" spans="1:7" x14ac:dyDescent="0.25">
      <c r="A7" s="42"/>
      <c r="B7" s="32" t="s">
        <v>65</v>
      </c>
      <c r="C7" s="33" t="s">
        <v>29</v>
      </c>
      <c r="E7" s="20" t="s">
        <v>10</v>
      </c>
      <c r="F7" s="26">
        <f>IFERROR(AVERAGE(Summary!O2:O50),"")</f>
        <v>4.7941176470588234</v>
      </c>
      <c r="G7" s="27" t="str" cm="1">
        <f t="array" ref="G7">IFERROR(_xlfn.IFS(F7 &lt; 4,"low", AND(F7 &lt;= 7,F7 &gt; 4),"medium", AND(F7 &lt;= 10,F7 &gt; 7),"high"),"")</f>
        <v>medium</v>
      </c>
    </row>
    <row r="8" spans="1:7" x14ac:dyDescent="0.25">
      <c r="A8" s="42"/>
      <c r="B8" s="32" t="s">
        <v>68</v>
      </c>
      <c r="C8" s="33" t="s">
        <v>24</v>
      </c>
      <c r="E8" s="20" t="s">
        <v>11</v>
      </c>
      <c r="F8" s="26">
        <f>IFERROR(10-F9,"")</f>
        <v>3.1764705882352944</v>
      </c>
      <c r="G8" s="27" t="str" cm="1">
        <f t="array" ref="G8">IFERROR(_xlfn.IFS(F8 &lt; 4,"low", AND(F8 &lt;= 7,F8 &gt; 4),"medium", AND(F8 &lt;= 10,F8 &gt; 7),"high"),"")</f>
        <v>low</v>
      </c>
    </row>
    <row r="9" spans="1:7" x14ac:dyDescent="0.25">
      <c r="A9" s="42"/>
      <c r="B9" s="32" t="s">
        <v>25</v>
      </c>
      <c r="C9" s="33" t="s">
        <v>24</v>
      </c>
      <c r="E9" s="20" t="s">
        <v>12</v>
      </c>
      <c r="F9" s="26">
        <f>IFERROR(AVERAGE(Summary!P2:P50),"")</f>
        <v>6.8235294117647056</v>
      </c>
      <c r="G9" s="27" t="str" cm="1">
        <f t="array" ref="G9">IFERROR(_xlfn.IFS(F9 &lt; 4,"low", AND(F9 &lt;= 7,F9 &gt; 4),"medium", AND(F9 &lt;= 10,F9 &gt; 7),"high"),"")</f>
        <v>medium</v>
      </c>
    </row>
    <row r="10" spans="1:7" ht="15.75" thickBot="1" x14ac:dyDescent="0.3">
      <c r="A10" s="42"/>
      <c r="B10" s="32" t="s">
        <v>36</v>
      </c>
      <c r="C10" s="33" t="s">
        <v>34</v>
      </c>
      <c r="E10" s="21" t="s">
        <v>13</v>
      </c>
      <c r="F10" s="28" t="str">
        <f>IFERROR(AVERAGE(Summary!#REF!),"")</f>
        <v/>
      </c>
      <c r="G10" s="29" t="str" cm="1">
        <f t="array" ref="G10">IFERROR(_xlfn.IFS(F10 &lt; 4,"small", AND(F10 &lt;= 7,F10 &gt; 4),"medium", AND(F10 &lt;= 10,F10 &gt; 7),"large"),"")</f>
        <v/>
      </c>
    </row>
    <row r="11" spans="1:7" x14ac:dyDescent="0.25">
      <c r="A11" s="42"/>
      <c r="B11" s="32" t="s">
        <v>83</v>
      </c>
      <c r="C11" s="33" t="s">
        <v>29</v>
      </c>
    </row>
    <row r="12" spans="1:7" x14ac:dyDescent="0.25">
      <c r="A12" s="42"/>
      <c r="B12" s="32" t="s">
        <v>83</v>
      </c>
      <c r="C12" s="33" t="s">
        <v>24</v>
      </c>
    </row>
    <row r="13" spans="1:7" x14ac:dyDescent="0.25">
      <c r="A13" s="42"/>
      <c r="B13" s="32" t="s">
        <v>33</v>
      </c>
      <c r="C13" s="33" t="s">
        <v>29</v>
      </c>
    </row>
    <row r="14" spans="1:7" x14ac:dyDescent="0.25">
      <c r="A14" s="42"/>
      <c r="B14" s="32" t="s">
        <v>35</v>
      </c>
      <c r="C14" s="33" t="s">
        <v>34</v>
      </c>
    </row>
    <row r="15" spans="1:7" x14ac:dyDescent="0.25">
      <c r="A15" s="42"/>
      <c r="B15" s="32" t="s">
        <v>23</v>
      </c>
      <c r="C15" s="33" t="s">
        <v>24</v>
      </c>
    </row>
    <row r="16" spans="1:7" x14ac:dyDescent="0.25">
      <c r="A16" s="42"/>
      <c r="B16" s="32" t="s">
        <v>30</v>
      </c>
      <c r="C16" s="33" t="s">
        <v>29</v>
      </c>
    </row>
    <row r="17" spans="1:3" x14ac:dyDescent="0.25">
      <c r="A17" s="42"/>
      <c r="B17" s="32" t="s">
        <v>30</v>
      </c>
      <c r="C17" s="33" t="s">
        <v>34</v>
      </c>
    </row>
    <row r="18" spans="1:3" x14ac:dyDescent="0.25">
      <c r="A18" s="42"/>
      <c r="B18" s="32" t="s">
        <v>31</v>
      </c>
      <c r="C18" s="33" t="s">
        <v>29</v>
      </c>
    </row>
    <row r="19" spans="1:3" x14ac:dyDescent="0.25">
      <c r="A19" s="42"/>
      <c r="B19" s="32" t="s">
        <v>27</v>
      </c>
      <c r="C19" s="33" t="s">
        <v>24</v>
      </c>
    </row>
    <row r="20" spans="1:3" x14ac:dyDescent="0.25">
      <c r="A20" s="42"/>
      <c r="B20" s="32" t="s">
        <v>26</v>
      </c>
      <c r="C20" s="33" t="s">
        <v>24</v>
      </c>
    </row>
    <row r="21" spans="1:3" x14ac:dyDescent="0.25">
      <c r="A21" s="42"/>
      <c r="B21" s="32" t="s">
        <v>32</v>
      </c>
      <c r="C21" s="33" t="s">
        <v>29</v>
      </c>
    </row>
    <row r="22" spans="1:3" x14ac:dyDescent="0.25">
      <c r="A22" s="42"/>
      <c r="B22" s="32"/>
      <c r="C22" s="33"/>
    </row>
    <row r="23" spans="1:3" x14ac:dyDescent="0.25">
      <c r="A23" s="42"/>
      <c r="B23" s="32"/>
      <c r="C23" s="33"/>
    </row>
    <row r="24" spans="1:3" x14ac:dyDescent="0.25">
      <c r="A24" s="42"/>
      <c r="B24" s="32"/>
      <c r="C24" s="33"/>
    </row>
    <row r="25" spans="1:3" x14ac:dyDescent="0.25">
      <c r="A25" s="42"/>
      <c r="B25" s="32"/>
      <c r="C25" s="33"/>
    </row>
    <row r="26" spans="1:3" ht="15.75" thickBot="1" x14ac:dyDescent="0.3">
      <c r="A26" s="43"/>
      <c r="B26" s="34"/>
      <c r="C26" s="35"/>
    </row>
  </sheetData>
  <sheetProtection sheet="1"/>
  <autoFilter ref="B3:C3" xr:uid="{6B1F7189-010B-4164-9AB1-1BFC381D766D}">
    <sortState xmlns:xlrd2="http://schemas.microsoft.com/office/spreadsheetml/2017/richdata2" ref="B4:C26">
      <sortCondition ref="B3"/>
    </sortState>
  </autoFilter>
  <mergeCells count="1">
    <mergeCell ref="A3:A26"/>
  </mergeCells>
  <conditionalFormatting sqref="F4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59D113-9D83-4A0D-A972-A076FD789F69}">
          <x14:formula1>
            <xm:f>Definition!$D$2:$D$5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BE4B-032C-428A-ACDA-7BA7E6D4B2B1}">
  <sheetPr codeName="Sheet5">
    <tabColor rgb="FFFFFF00"/>
  </sheetPr>
  <dimension ref="A1:E19"/>
  <sheetViews>
    <sheetView zoomScale="115" zoomScaleNormal="115" workbookViewId="0">
      <pane ySplit="1" topLeftCell="A2" activePane="bottomLeft" state="frozen"/>
      <selection pane="bottomLeft" sqref="A1:E1"/>
    </sheetView>
  </sheetViews>
  <sheetFormatPr defaultRowHeight="15" x14ac:dyDescent="0.25"/>
  <cols>
    <col min="1" max="1" width="15.5703125" bestFit="1" customWidth="1"/>
    <col min="2" max="2" width="35" bestFit="1" customWidth="1"/>
    <col min="3" max="3" width="7.5703125" bestFit="1" customWidth="1"/>
    <col min="4" max="4" width="41.85546875" bestFit="1" customWidth="1"/>
    <col min="5" max="5" width="10.28515625" style="5" bestFit="1" customWidth="1"/>
  </cols>
  <sheetData>
    <row r="1" spans="1:5" ht="45" customHeight="1" x14ac:dyDescent="0.25">
      <c r="A1" s="3" t="s">
        <v>14</v>
      </c>
      <c r="B1" s="1" t="s">
        <v>125</v>
      </c>
      <c r="C1" s="1" t="s">
        <v>15</v>
      </c>
      <c r="D1" s="1" t="s">
        <v>16</v>
      </c>
      <c r="E1" s="1" t="s">
        <v>126</v>
      </c>
    </row>
    <row r="2" spans="1:5" ht="45" customHeight="1" x14ac:dyDescent="0.25">
      <c r="A2" s="8" t="str">
        <f>IF(B2="","",Overview!$B$1)</f>
        <v>ambr250</v>
      </c>
      <c r="B2" s="22" t="s">
        <v>99</v>
      </c>
      <c r="C2" s="22" t="s">
        <v>100</v>
      </c>
      <c r="D2" s="22" t="s">
        <v>101</v>
      </c>
      <c r="E2" s="24" t="s">
        <v>102</v>
      </c>
    </row>
    <row r="3" spans="1:5" ht="45" customHeight="1" x14ac:dyDescent="0.25">
      <c r="A3" s="8" t="str">
        <f>IF(B3="","",Overview!$B$1)</f>
        <v>ambr250</v>
      </c>
      <c r="B3" s="22" t="s">
        <v>103</v>
      </c>
      <c r="C3" s="22" t="s">
        <v>100</v>
      </c>
      <c r="D3" s="22" t="s">
        <v>104</v>
      </c>
      <c r="E3" s="24" t="s">
        <v>102</v>
      </c>
    </row>
    <row r="4" spans="1:5" ht="45" customHeight="1" x14ac:dyDescent="0.25">
      <c r="A4" s="8" t="str">
        <f>IF(B4="","",Overview!$B$1)</f>
        <v>ambr250</v>
      </c>
      <c r="B4" s="22" t="s">
        <v>105</v>
      </c>
      <c r="C4" s="22" t="s">
        <v>100</v>
      </c>
      <c r="D4" s="23" t="s">
        <v>106</v>
      </c>
      <c r="E4" s="24" t="s">
        <v>102</v>
      </c>
    </row>
    <row r="5" spans="1:5" ht="45" customHeight="1" x14ac:dyDescent="0.25">
      <c r="A5" s="8" t="str">
        <f>IF(B5="","",Overview!$B$1)</f>
        <v>ambr250</v>
      </c>
      <c r="B5" s="22" t="s">
        <v>107</v>
      </c>
      <c r="C5" s="22" t="s">
        <v>108</v>
      </c>
      <c r="D5" s="22" t="s">
        <v>109</v>
      </c>
      <c r="E5" s="24" t="s">
        <v>102</v>
      </c>
    </row>
    <row r="6" spans="1:5" ht="45" customHeight="1" x14ac:dyDescent="0.25">
      <c r="A6" s="8" t="str">
        <f>IF(B6="","",Overview!$B$1)</f>
        <v>ambr250</v>
      </c>
      <c r="B6" s="22" t="s">
        <v>110</v>
      </c>
      <c r="C6" s="22" t="s">
        <v>100</v>
      </c>
      <c r="D6" s="22" t="s">
        <v>111</v>
      </c>
      <c r="E6" s="24" t="s">
        <v>102</v>
      </c>
    </row>
    <row r="7" spans="1:5" ht="45" customHeight="1" x14ac:dyDescent="0.25">
      <c r="A7" s="8" t="str">
        <f>IF(B7="","",Overview!$B$1)</f>
        <v>ambr250</v>
      </c>
      <c r="B7" s="22" t="s">
        <v>112</v>
      </c>
      <c r="C7" s="22" t="s">
        <v>108</v>
      </c>
      <c r="D7" s="10" t="s">
        <v>113</v>
      </c>
      <c r="E7" s="25" t="s">
        <v>102</v>
      </c>
    </row>
    <row r="8" spans="1:5" ht="45" customHeight="1" x14ac:dyDescent="0.25">
      <c r="A8" s="8" t="str">
        <f>IF(B8="","",Overview!$B$1)</f>
        <v>ambr250</v>
      </c>
      <c r="B8" s="22" t="s">
        <v>114</v>
      </c>
      <c r="C8" s="22" t="s">
        <v>100</v>
      </c>
      <c r="D8" s="22" t="s">
        <v>115</v>
      </c>
      <c r="E8" s="24" t="s">
        <v>102</v>
      </c>
    </row>
    <row r="9" spans="1:5" ht="45" customHeight="1" x14ac:dyDescent="0.25">
      <c r="A9" s="8" t="str">
        <f>IF(B9="","",Overview!$B$1)</f>
        <v>ambr250</v>
      </c>
      <c r="B9" s="22" t="s">
        <v>116</v>
      </c>
      <c r="C9" s="22" t="s">
        <v>108</v>
      </c>
      <c r="D9" s="10" t="s">
        <v>117</v>
      </c>
      <c r="E9" s="25" t="s">
        <v>102</v>
      </c>
    </row>
    <row r="10" spans="1:5" ht="45" customHeight="1" x14ac:dyDescent="0.25">
      <c r="A10" s="8" t="str">
        <f>IF(B10="","",Overview!$B$1)</f>
        <v>ambr250</v>
      </c>
      <c r="B10" s="22" t="s">
        <v>118</v>
      </c>
      <c r="C10" s="22" t="s">
        <v>108</v>
      </c>
      <c r="D10" s="22" t="s">
        <v>119</v>
      </c>
      <c r="E10" s="24"/>
    </row>
    <row r="11" spans="1:5" ht="45" customHeight="1" x14ac:dyDescent="0.25">
      <c r="A11" s="8" t="str">
        <f>IF(B11="","",Overview!$B$1)</f>
        <v>ambr250</v>
      </c>
      <c r="B11" s="22" t="s">
        <v>120</v>
      </c>
      <c r="C11" s="22" t="s">
        <v>108</v>
      </c>
      <c r="D11" s="22" t="s">
        <v>121</v>
      </c>
      <c r="E11" s="24"/>
    </row>
    <row r="12" spans="1:5" ht="45" customHeight="1" x14ac:dyDescent="0.25">
      <c r="A12" s="8" t="str">
        <f>IF(B12="","",Overview!$B$1)</f>
        <v>ambr250</v>
      </c>
      <c r="B12" s="22" t="s">
        <v>122</v>
      </c>
      <c r="C12" s="22" t="s">
        <v>123</v>
      </c>
      <c r="D12" s="22" t="s">
        <v>124</v>
      </c>
      <c r="E12" s="24"/>
    </row>
    <row r="13" spans="1:5" ht="45" customHeight="1" x14ac:dyDescent="0.25">
      <c r="A13" s="8" t="str">
        <f>IF(B13="","",Overview!$B$1)</f>
        <v/>
      </c>
      <c r="B13" s="10"/>
      <c r="C13" s="10"/>
      <c r="D13" s="10"/>
      <c r="E13" s="25"/>
    </row>
    <row r="14" spans="1:5" ht="45" customHeight="1" x14ac:dyDescent="0.25">
      <c r="A14" s="8" t="str">
        <f>IF(B14="","",Overview!$B$1)</f>
        <v/>
      </c>
      <c r="B14" s="10"/>
      <c r="C14" s="10"/>
      <c r="D14" s="10"/>
      <c r="E14" s="25"/>
    </row>
    <row r="15" spans="1:5" ht="45" customHeight="1" x14ac:dyDescent="0.25">
      <c r="A15" s="8" t="str">
        <f>IF(B15="","",Overview!$B$1)</f>
        <v/>
      </c>
      <c r="B15" s="10"/>
      <c r="C15" s="10"/>
      <c r="D15" s="10"/>
      <c r="E15" s="25"/>
    </row>
    <row r="16" spans="1:5" ht="45" customHeight="1" x14ac:dyDescent="0.25">
      <c r="A16" s="8" t="str">
        <f>IF(B16="","",Overview!$B$1)</f>
        <v/>
      </c>
      <c r="B16" s="10"/>
      <c r="C16" s="10"/>
      <c r="D16" s="10"/>
      <c r="E16" s="25"/>
    </row>
    <row r="17" spans="1:5" ht="45" customHeight="1" x14ac:dyDescent="0.25">
      <c r="A17" s="8" t="str">
        <f>IF(B17="","",Overview!$B$1)</f>
        <v/>
      </c>
      <c r="B17" s="10"/>
      <c r="C17" s="10"/>
      <c r="D17" s="10"/>
      <c r="E17" s="25"/>
    </row>
    <row r="18" spans="1:5" ht="45" customHeight="1" x14ac:dyDescent="0.25">
      <c r="A18" s="8" t="str">
        <f>IF(B18="","",Overview!$B$1)</f>
        <v/>
      </c>
      <c r="B18" s="10"/>
      <c r="C18" s="10"/>
      <c r="D18" s="10"/>
      <c r="E18" s="25"/>
    </row>
    <row r="19" spans="1:5" ht="45" customHeight="1" x14ac:dyDescent="0.25">
      <c r="A19" s="8" t="str">
        <f>IF(B19="","",Overview!$B$1)</f>
        <v/>
      </c>
      <c r="B19" s="10"/>
      <c r="C19" s="10"/>
      <c r="D19" s="10"/>
      <c r="E19" s="25"/>
    </row>
  </sheetData>
  <autoFilter ref="B1:E1" xr:uid="{27B16CE1-472A-4C31-BB31-434DAF5DD6A4}">
    <sortState xmlns:xlrd2="http://schemas.microsoft.com/office/spreadsheetml/2017/richdata2" ref="B2:E12">
      <sortCondition ref="E1"/>
    </sortState>
  </autoFilter>
  <conditionalFormatting sqref="E2:E19">
    <cfRule type="cellIs" dxfId="9" priority="1" operator="equal">
      <formula>"X"</formula>
    </cfRule>
    <cfRule type="cellIs" dxfId="8" priority="2" operator="equal">
      <formula>"X"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32C42-3EA7-4158-836C-20F3E2A922B2}">
  <sheetPr codeName="Sheet6">
    <tabColor rgb="FFFFC000"/>
  </sheetPr>
  <dimension ref="A1:I200"/>
  <sheetViews>
    <sheetView zoomScale="115" zoomScaleNormal="115" workbookViewId="0">
      <pane ySplit="1" topLeftCell="A2" activePane="bottomLeft" state="frozen"/>
      <selection pane="bottomLeft" sqref="A1:F1"/>
    </sheetView>
  </sheetViews>
  <sheetFormatPr defaultRowHeight="15" x14ac:dyDescent="0.25"/>
  <cols>
    <col min="1" max="1" width="10.140625" bestFit="1" customWidth="1"/>
    <col min="2" max="2" width="4.28515625" style="12" bestFit="1" customWidth="1"/>
    <col min="3" max="3" width="6.5703125" style="12" bestFit="1" customWidth="1"/>
    <col min="4" max="4" width="32.7109375" style="12" bestFit="1" customWidth="1"/>
    <col min="5" max="5" width="26.7109375" style="12" bestFit="1" customWidth="1"/>
    <col min="6" max="6" width="14.7109375" style="12" bestFit="1" customWidth="1"/>
    <col min="8" max="9" width="27" customWidth="1"/>
  </cols>
  <sheetData>
    <row r="1" spans="1:9" s="4" customFormat="1" ht="45" customHeight="1" x14ac:dyDescent="0.25">
      <c r="A1" s="3" t="s">
        <v>14</v>
      </c>
      <c r="B1" s="3" t="s">
        <v>17</v>
      </c>
      <c r="C1" s="37" t="s">
        <v>18</v>
      </c>
      <c r="D1" s="37" t="s">
        <v>19</v>
      </c>
      <c r="E1" s="37" t="s">
        <v>2</v>
      </c>
      <c r="F1" s="37" t="s">
        <v>3</v>
      </c>
      <c r="H1" s="15"/>
      <c r="I1" s="13"/>
    </row>
    <row r="2" spans="1:9" x14ac:dyDescent="0.25">
      <c r="A2" s="9" t="str">
        <f>IF(D2="","",Overview!$B$1)</f>
        <v>ambr250</v>
      </c>
      <c r="B2" s="9">
        <v>1</v>
      </c>
      <c r="C2" s="14">
        <v>-2</v>
      </c>
      <c r="D2" s="14" t="s">
        <v>66</v>
      </c>
      <c r="E2" s="14" t="s">
        <v>23</v>
      </c>
      <c r="F2" s="14" t="s">
        <v>24</v>
      </c>
    </row>
    <row r="3" spans="1:9" x14ac:dyDescent="0.25">
      <c r="A3" s="9" t="str">
        <f>IF(D3="","",Overview!$B$1)</f>
        <v>ambr250</v>
      </c>
      <c r="B3" s="9">
        <v>2</v>
      </c>
      <c r="C3" s="14">
        <v>-1</v>
      </c>
      <c r="D3" s="14" t="s">
        <v>67</v>
      </c>
      <c r="E3" s="14" t="s">
        <v>68</v>
      </c>
      <c r="F3" s="14" t="s">
        <v>24</v>
      </c>
    </row>
    <row r="4" spans="1:9" x14ac:dyDescent="0.25">
      <c r="A4" s="9" t="str">
        <f>IF(D4="","",Overview!$B$1)</f>
        <v>ambr250</v>
      </c>
      <c r="B4" s="9">
        <v>3</v>
      </c>
      <c r="C4" s="14">
        <v>-1</v>
      </c>
      <c r="D4" s="14" t="s">
        <v>69</v>
      </c>
      <c r="E4" s="14" t="s">
        <v>25</v>
      </c>
      <c r="F4" s="14" t="s">
        <v>24</v>
      </c>
    </row>
    <row r="5" spans="1:9" x14ac:dyDescent="0.25">
      <c r="A5" s="9" t="str">
        <f>IF(D5="","",Overview!$B$1)</f>
        <v>ambr250</v>
      </c>
      <c r="B5" s="9">
        <v>4</v>
      </c>
      <c r="C5" s="14">
        <v>-1</v>
      </c>
      <c r="D5" s="14" t="s">
        <v>70</v>
      </c>
      <c r="E5" s="14" t="s">
        <v>26</v>
      </c>
      <c r="F5" s="14" t="s">
        <v>24</v>
      </c>
    </row>
    <row r="6" spans="1:9" x14ac:dyDescent="0.25">
      <c r="A6" s="9" t="str">
        <f>IF(D6="","",Overview!$B$1)</f>
        <v>ambr250</v>
      </c>
      <c r="B6" s="9">
        <v>5</v>
      </c>
      <c r="C6" s="14">
        <v>-1</v>
      </c>
      <c r="D6" s="14" t="s">
        <v>71</v>
      </c>
      <c r="E6" s="14" t="s">
        <v>26</v>
      </c>
      <c r="F6" s="14" t="s">
        <v>24</v>
      </c>
    </row>
    <row r="7" spans="1:9" x14ac:dyDescent="0.25">
      <c r="A7" s="9" t="str">
        <f>IF(D7="","",Overview!$B$1)</f>
        <v>ambr250</v>
      </c>
      <c r="B7" s="9">
        <v>6</v>
      </c>
      <c r="C7" s="14">
        <v>-1</v>
      </c>
      <c r="D7" s="14" t="s">
        <v>72</v>
      </c>
      <c r="E7" s="14" t="s">
        <v>26</v>
      </c>
      <c r="F7" s="14" t="s">
        <v>24</v>
      </c>
    </row>
    <row r="8" spans="1:9" x14ac:dyDescent="0.25">
      <c r="A8" s="9" t="str">
        <f>IF(D8="","",Overview!$B$1)</f>
        <v>ambr250</v>
      </c>
      <c r="B8" s="9">
        <v>7</v>
      </c>
      <c r="C8" s="14">
        <v>-1</v>
      </c>
      <c r="D8" s="14" t="s">
        <v>73</v>
      </c>
      <c r="E8" s="14" t="s">
        <v>26</v>
      </c>
      <c r="F8" s="14" t="s">
        <v>24</v>
      </c>
    </row>
    <row r="9" spans="1:9" x14ac:dyDescent="0.25">
      <c r="A9" s="9" t="str">
        <f>IF(D9="","",Overview!$B$1)</f>
        <v>ambr250</v>
      </c>
      <c r="B9" s="9">
        <v>8</v>
      </c>
      <c r="C9" s="14">
        <v>-1</v>
      </c>
      <c r="D9" s="14" t="s">
        <v>74</v>
      </c>
      <c r="E9" s="14" t="s">
        <v>26</v>
      </c>
      <c r="F9" s="14" t="s">
        <v>24</v>
      </c>
    </row>
    <row r="10" spans="1:9" x14ac:dyDescent="0.25">
      <c r="A10" s="9" t="str">
        <f>IF(D10="","",Overview!$B$1)</f>
        <v>ambr250</v>
      </c>
      <c r="B10" s="9">
        <v>9</v>
      </c>
      <c r="C10" s="14">
        <v>-1</v>
      </c>
      <c r="D10" s="14" t="s">
        <v>75</v>
      </c>
      <c r="E10" s="14" t="s">
        <v>27</v>
      </c>
      <c r="F10" s="14" t="s">
        <v>24</v>
      </c>
    </row>
    <row r="11" spans="1:9" x14ac:dyDescent="0.25">
      <c r="A11" s="9" t="str">
        <f>IF(D11="","",Overview!$B$1)</f>
        <v>ambr250</v>
      </c>
      <c r="B11" s="9">
        <v>10</v>
      </c>
      <c r="C11" s="14">
        <v>-1</v>
      </c>
      <c r="D11" s="14" t="s">
        <v>76</v>
      </c>
      <c r="E11" s="14" t="s">
        <v>65</v>
      </c>
      <c r="F11" s="14" t="s">
        <v>24</v>
      </c>
    </row>
    <row r="12" spans="1:9" x14ac:dyDescent="0.25">
      <c r="A12" s="9" t="str">
        <f>IF(D12="","",Overview!$B$1)</f>
        <v>ambr250</v>
      </c>
      <c r="B12" s="9">
        <v>11</v>
      </c>
      <c r="C12" s="14">
        <v>-1</v>
      </c>
      <c r="D12" s="14" t="s">
        <v>77</v>
      </c>
      <c r="E12" s="14" t="s">
        <v>28</v>
      </c>
      <c r="F12" s="14" t="s">
        <v>29</v>
      </c>
    </row>
    <row r="13" spans="1:9" x14ac:dyDescent="0.25">
      <c r="A13" s="9" t="str">
        <f>IF(D13="","",Overview!$B$1)</f>
        <v>ambr250</v>
      </c>
      <c r="B13" s="9">
        <v>12</v>
      </c>
      <c r="C13" s="14">
        <v>0</v>
      </c>
      <c r="D13" s="14" t="s">
        <v>78</v>
      </c>
      <c r="E13" s="14" t="s">
        <v>30</v>
      </c>
      <c r="F13" s="14" t="s">
        <v>29</v>
      </c>
    </row>
    <row r="14" spans="1:9" x14ac:dyDescent="0.25">
      <c r="A14" s="9" t="str">
        <f>IF(D14="","",Overview!$B$1)</f>
        <v>ambr250</v>
      </c>
      <c r="B14" s="9">
        <v>13</v>
      </c>
      <c r="C14" s="14">
        <v>0</v>
      </c>
      <c r="D14" s="14" t="s">
        <v>79</v>
      </c>
      <c r="E14" s="14" t="s">
        <v>31</v>
      </c>
      <c r="F14" s="14" t="s">
        <v>29</v>
      </c>
    </row>
    <row r="15" spans="1:9" x14ac:dyDescent="0.25">
      <c r="A15" s="9" t="str">
        <f>IF(D15="","",Overview!$B$1)</f>
        <v>ambr250</v>
      </c>
      <c r="B15" s="9">
        <v>14</v>
      </c>
      <c r="C15" s="14">
        <v>0</v>
      </c>
      <c r="D15" s="14" t="s">
        <v>80</v>
      </c>
      <c r="E15" s="14" t="s">
        <v>26</v>
      </c>
      <c r="F15" s="14" t="s">
        <v>24</v>
      </c>
    </row>
    <row r="16" spans="1:9" x14ac:dyDescent="0.25">
      <c r="A16" s="9" t="str">
        <f>IF(D16="","",Overview!$B$1)</f>
        <v>ambr250</v>
      </c>
      <c r="B16" s="9">
        <v>15</v>
      </c>
      <c r="C16" s="14">
        <v>0</v>
      </c>
      <c r="D16" s="14" t="s">
        <v>81</v>
      </c>
      <c r="E16" s="14" t="s">
        <v>32</v>
      </c>
      <c r="F16" s="14" t="s">
        <v>29</v>
      </c>
    </row>
    <row r="17" spans="1:6" x14ac:dyDescent="0.25">
      <c r="A17" s="9" t="str">
        <f>IF(D17="","",Overview!$B$1)</f>
        <v>ambr250</v>
      </c>
      <c r="B17" s="9">
        <v>16</v>
      </c>
      <c r="C17" s="14">
        <v>0</v>
      </c>
      <c r="D17" s="14" t="s">
        <v>82</v>
      </c>
      <c r="E17" s="14" t="s">
        <v>83</v>
      </c>
      <c r="F17" s="14" t="s">
        <v>29</v>
      </c>
    </row>
    <row r="18" spans="1:6" x14ac:dyDescent="0.25">
      <c r="A18" s="9" t="str">
        <f>IF(D18="","",Overview!$B$1)</f>
        <v>ambr250</v>
      </c>
      <c r="B18" s="9">
        <v>17</v>
      </c>
      <c r="C18" s="14">
        <v>0</v>
      </c>
      <c r="D18" s="14" t="s">
        <v>84</v>
      </c>
      <c r="E18" s="14" t="s">
        <v>33</v>
      </c>
      <c r="F18" s="14" t="s">
        <v>29</v>
      </c>
    </row>
    <row r="19" spans="1:6" x14ac:dyDescent="0.25">
      <c r="A19" s="9" t="str">
        <f>IF(D19="","",Overview!$B$1)</f>
        <v>ambr250</v>
      </c>
      <c r="B19" s="9">
        <v>18</v>
      </c>
      <c r="C19" s="14">
        <v>0</v>
      </c>
      <c r="D19" s="14" t="s">
        <v>77</v>
      </c>
      <c r="E19" s="14" t="s">
        <v>28</v>
      </c>
      <c r="F19" s="14" t="s">
        <v>29</v>
      </c>
    </row>
    <row r="20" spans="1:6" x14ac:dyDescent="0.25">
      <c r="A20" s="9" t="str">
        <f>IF(D20="","",Overview!$B$1)</f>
        <v>ambr250</v>
      </c>
      <c r="B20" s="9">
        <v>19</v>
      </c>
      <c r="C20" s="14">
        <v>0</v>
      </c>
      <c r="D20" s="14" t="s">
        <v>85</v>
      </c>
      <c r="E20" s="14" t="s">
        <v>26</v>
      </c>
      <c r="F20" s="14" t="s">
        <v>24</v>
      </c>
    </row>
    <row r="21" spans="1:6" x14ac:dyDescent="0.25">
      <c r="A21" s="9" t="str">
        <f>IF(D21="","",Overview!$B$1)</f>
        <v>ambr250</v>
      </c>
      <c r="B21" s="9">
        <v>20</v>
      </c>
      <c r="C21" s="14">
        <v>0</v>
      </c>
      <c r="D21" s="14" t="s">
        <v>86</v>
      </c>
      <c r="E21" s="14" t="s">
        <v>65</v>
      </c>
      <c r="F21" s="14" t="s">
        <v>29</v>
      </c>
    </row>
    <row r="22" spans="1:6" x14ac:dyDescent="0.25">
      <c r="A22" s="9" t="str">
        <f>IF(D22="","",Overview!$B$1)</f>
        <v>ambr250</v>
      </c>
      <c r="B22" s="9">
        <v>21</v>
      </c>
      <c r="C22" s="14">
        <v>0</v>
      </c>
      <c r="D22" s="14" t="s">
        <v>87</v>
      </c>
      <c r="E22" s="14" t="s">
        <v>30</v>
      </c>
      <c r="F22" s="14" t="s">
        <v>34</v>
      </c>
    </row>
    <row r="23" spans="1:6" x14ac:dyDescent="0.25">
      <c r="A23" s="9" t="str">
        <f>IF(D23="","",Overview!$B$1)</f>
        <v>ambr250</v>
      </c>
      <c r="B23" s="9">
        <v>22</v>
      </c>
      <c r="C23" s="14">
        <v>1</v>
      </c>
      <c r="D23" s="14" t="s">
        <v>86</v>
      </c>
      <c r="E23" s="14" t="s">
        <v>65</v>
      </c>
      <c r="F23" s="14" t="s">
        <v>29</v>
      </c>
    </row>
    <row r="24" spans="1:6" x14ac:dyDescent="0.25">
      <c r="A24" s="9" t="str">
        <f>IF(D24="","",Overview!$B$1)</f>
        <v>ambr250</v>
      </c>
      <c r="B24" s="9">
        <v>23</v>
      </c>
      <c r="C24" s="14">
        <v>1</v>
      </c>
      <c r="D24" s="14" t="s">
        <v>81</v>
      </c>
      <c r="E24" s="14" t="s">
        <v>32</v>
      </c>
      <c r="F24" s="14" t="s">
        <v>29</v>
      </c>
    </row>
    <row r="25" spans="1:6" x14ac:dyDescent="0.25">
      <c r="A25" s="9" t="str">
        <f>IF(D25="","",Overview!$B$1)</f>
        <v>ambr250</v>
      </c>
      <c r="B25" s="9">
        <v>24</v>
      </c>
      <c r="C25" s="14">
        <v>1</v>
      </c>
      <c r="D25" s="14" t="s">
        <v>85</v>
      </c>
      <c r="E25" s="14" t="s">
        <v>26</v>
      </c>
      <c r="F25" s="14" t="s">
        <v>24</v>
      </c>
    </row>
    <row r="26" spans="1:6" x14ac:dyDescent="0.25">
      <c r="A26" s="9" t="str">
        <f>IF(D26="","",Overview!$B$1)</f>
        <v>ambr250</v>
      </c>
      <c r="B26" s="9">
        <v>25</v>
      </c>
      <c r="C26" s="14">
        <v>1</v>
      </c>
      <c r="D26" s="14" t="s">
        <v>87</v>
      </c>
      <c r="E26" s="14" t="s">
        <v>30</v>
      </c>
      <c r="F26" s="14" t="s">
        <v>34</v>
      </c>
    </row>
    <row r="27" spans="1:6" x14ac:dyDescent="0.25">
      <c r="A27" s="9" t="str">
        <f>IF(D27="","",Overview!$B$1)</f>
        <v>ambr250</v>
      </c>
      <c r="B27" s="9">
        <v>26</v>
      </c>
      <c r="C27" s="14">
        <v>1</v>
      </c>
      <c r="D27" s="14" t="s">
        <v>82</v>
      </c>
      <c r="E27" s="14" t="s">
        <v>83</v>
      </c>
      <c r="F27" s="14" t="s">
        <v>29</v>
      </c>
    </row>
    <row r="28" spans="1:6" x14ac:dyDescent="0.25">
      <c r="A28" s="9" t="str">
        <f>IF(D28="","",Overview!$B$1)</f>
        <v>ambr250</v>
      </c>
      <c r="B28" s="9">
        <v>27</v>
      </c>
      <c r="C28" s="14">
        <v>1</v>
      </c>
      <c r="D28" s="14" t="s">
        <v>84</v>
      </c>
      <c r="E28" s="14" t="s">
        <v>33</v>
      </c>
      <c r="F28" s="14" t="s">
        <v>29</v>
      </c>
    </row>
    <row r="29" spans="1:6" x14ac:dyDescent="0.25">
      <c r="A29" s="9" t="str">
        <f>IF(D29="","",Overview!$B$1)</f>
        <v>ambr250</v>
      </c>
      <c r="B29" s="9">
        <v>28</v>
      </c>
      <c r="C29" s="14">
        <v>2</v>
      </c>
      <c r="D29" s="14" t="s">
        <v>86</v>
      </c>
      <c r="E29" s="14" t="s">
        <v>65</v>
      </c>
      <c r="F29" s="14" t="s">
        <v>29</v>
      </c>
    </row>
    <row r="30" spans="1:6" x14ac:dyDescent="0.25">
      <c r="A30" s="9" t="str">
        <f>IF(D30="","",Overview!$B$1)</f>
        <v>ambr250</v>
      </c>
      <c r="B30" s="9">
        <v>29</v>
      </c>
      <c r="C30" s="14">
        <v>2</v>
      </c>
      <c r="D30" s="14" t="s">
        <v>81</v>
      </c>
      <c r="E30" s="14" t="s">
        <v>32</v>
      </c>
      <c r="F30" s="14" t="s">
        <v>29</v>
      </c>
    </row>
    <row r="31" spans="1:6" x14ac:dyDescent="0.25">
      <c r="A31" s="9" t="str">
        <f>IF(D31="","",Overview!$B$1)</f>
        <v>ambr250</v>
      </c>
      <c r="B31" s="9">
        <v>30</v>
      </c>
      <c r="C31" s="14">
        <v>2</v>
      </c>
      <c r="D31" s="14" t="s">
        <v>85</v>
      </c>
      <c r="E31" s="14" t="s">
        <v>26</v>
      </c>
      <c r="F31" s="14" t="s">
        <v>24</v>
      </c>
    </row>
    <row r="32" spans="1:6" x14ac:dyDescent="0.25">
      <c r="A32" s="9" t="str">
        <f>IF(D32="","",Overview!$B$1)</f>
        <v>ambr250</v>
      </c>
      <c r="B32" s="9">
        <v>31</v>
      </c>
      <c r="C32" s="14">
        <v>2</v>
      </c>
      <c r="D32" s="14" t="s">
        <v>87</v>
      </c>
      <c r="E32" s="14" t="s">
        <v>30</v>
      </c>
      <c r="F32" s="14" t="s">
        <v>34</v>
      </c>
    </row>
    <row r="33" spans="1:6" x14ac:dyDescent="0.25">
      <c r="A33" s="9" t="str">
        <f>IF(D33="","",Overview!$B$1)</f>
        <v>ambr250</v>
      </c>
      <c r="B33" s="9">
        <v>32</v>
      </c>
      <c r="C33" s="14">
        <v>2</v>
      </c>
      <c r="D33" s="14" t="s">
        <v>88</v>
      </c>
      <c r="E33" s="14" t="s">
        <v>83</v>
      </c>
      <c r="F33" s="14" t="s">
        <v>24</v>
      </c>
    </row>
    <row r="34" spans="1:6" x14ac:dyDescent="0.25">
      <c r="A34" s="9" t="str">
        <f>IF(D34="","",Overview!$B$1)</f>
        <v>ambr250</v>
      </c>
      <c r="B34" s="9">
        <v>33</v>
      </c>
      <c r="C34" s="14">
        <v>2</v>
      </c>
      <c r="D34" s="14" t="s">
        <v>82</v>
      </c>
      <c r="E34" s="14" t="s">
        <v>83</v>
      </c>
      <c r="F34" s="14" t="s">
        <v>29</v>
      </c>
    </row>
    <row r="35" spans="1:6" x14ac:dyDescent="0.25">
      <c r="A35" s="9" t="str">
        <f>IF(D35="","",Overview!$B$1)</f>
        <v>ambr250</v>
      </c>
      <c r="B35" s="9">
        <v>34</v>
      </c>
      <c r="C35" s="14">
        <v>2</v>
      </c>
      <c r="D35" s="14" t="s">
        <v>84</v>
      </c>
      <c r="E35" s="14" t="s">
        <v>33</v>
      </c>
      <c r="F35" s="14" t="s">
        <v>29</v>
      </c>
    </row>
    <row r="36" spans="1:6" x14ac:dyDescent="0.25">
      <c r="A36" s="9" t="str">
        <f>IF(D36="","",Overview!$B$1)</f>
        <v>ambr250</v>
      </c>
      <c r="B36" s="9">
        <v>35</v>
      </c>
      <c r="C36" s="14">
        <v>2</v>
      </c>
      <c r="D36" s="14" t="s">
        <v>89</v>
      </c>
      <c r="E36" s="14" t="s">
        <v>28</v>
      </c>
      <c r="F36" s="14" t="s">
        <v>24</v>
      </c>
    </row>
    <row r="37" spans="1:6" x14ac:dyDescent="0.25">
      <c r="A37" s="9" t="str">
        <f>IF(D37="","",Overview!$B$1)</f>
        <v>ambr250</v>
      </c>
      <c r="B37" s="9">
        <v>36</v>
      </c>
      <c r="C37" s="14">
        <v>2</v>
      </c>
      <c r="D37" s="14" t="s">
        <v>77</v>
      </c>
      <c r="E37" s="14" t="s">
        <v>28</v>
      </c>
      <c r="F37" s="14" t="s">
        <v>29</v>
      </c>
    </row>
    <row r="38" spans="1:6" x14ac:dyDescent="0.25">
      <c r="A38" s="9" t="str">
        <f>IF(D38="","",Overview!$B$1)</f>
        <v>ambr250</v>
      </c>
      <c r="B38" s="9">
        <v>37</v>
      </c>
      <c r="C38" s="14">
        <v>3</v>
      </c>
      <c r="D38" s="14" t="s">
        <v>86</v>
      </c>
      <c r="E38" s="14" t="s">
        <v>65</v>
      </c>
      <c r="F38" s="14" t="s">
        <v>29</v>
      </c>
    </row>
    <row r="39" spans="1:6" x14ac:dyDescent="0.25">
      <c r="A39" s="9" t="str">
        <f>IF(D39="","",Overview!$B$1)</f>
        <v>ambr250</v>
      </c>
      <c r="B39" s="9">
        <v>38</v>
      </c>
      <c r="C39" s="14">
        <v>3</v>
      </c>
      <c r="D39" s="14" t="s">
        <v>81</v>
      </c>
      <c r="E39" s="14" t="s">
        <v>32</v>
      </c>
      <c r="F39" s="14" t="s">
        <v>29</v>
      </c>
    </row>
    <row r="40" spans="1:6" x14ac:dyDescent="0.25">
      <c r="A40" s="9" t="str">
        <f>IF(D40="","",Overview!$B$1)</f>
        <v>ambr250</v>
      </c>
      <c r="B40" s="9">
        <v>39</v>
      </c>
      <c r="C40" s="14">
        <v>3</v>
      </c>
      <c r="D40" s="14" t="s">
        <v>85</v>
      </c>
      <c r="E40" s="14" t="s">
        <v>26</v>
      </c>
      <c r="F40" s="14" t="s">
        <v>24</v>
      </c>
    </row>
    <row r="41" spans="1:6" x14ac:dyDescent="0.25">
      <c r="A41" s="9" t="str">
        <f>IF(D41="","",Overview!$B$1)</f>
        <v>ambr250</v>
      </c>
      <c r="B41" s="9">
        <v>40</v>
      </c>
      <c r="C41" s="14">
        <v>3</v>
      </c>
      <c r="D41" s="14" t="s">
        <v>87</v>
      </c>
      <c r="E41" s="14" t="s">
        <v>30</v>
      </c>
      <c r="F41" s="14" t="s">
        <v>34</v>
      </c>
    </row>
    <row r="42" spans="1:6" x14ac:dyDescent="0.25">
      <c r="A42" s="9" t="str">
        <f>IF(D42="","",Overview!$B$1)</f>
        <v>ambr250</v>
      </c>
      <c r="B42" s="9">
        <v>41</v>
      </c>
      <c r="C42" s="14">
        <v>3</v>
      </c>
      <c r="D42" s="14" t="s">
        <v>88</v>
      </c>
      <c r="E42" s="14" t="s">
        <v>83</v>
      </c>
      <c r="F42" s="14" t="s">
        <v>24</v>
      </c>
    </row>
    <row r="43" spans="1:6" x14ac:dyDescent="0.25">
      <c r="A43" s="9" t="str">
        <f>IF(D43="","",Overview!$B$1)</f>
        <v>ambr250</v>
      </c>
      <c r="B43" s="9">
        <v>42</v>
      </c>
      <c r="C43" s="14">
        <v>3</v>
      </c>
      <c r="D43" s="14" t="s">
        <v>82</v>
      </c>
      <c r="E43" s="14" t="s">
        <v>83</v>
      </c>
      <c r="F43" s="14" t="s">
        <v>29</v>
      </c>
    </row>
    <row r="44" spans="1:6" x14ac:dyDescent="0.25">
      <c r="A44" s="9" t="str">
        <f>IF(D44="","",Overview!$B$1)</f>
        <v>ambr250</v>
      </c>
      <c r="B44" s="9">
        <v>43</v>
      </c>
      <c r="C44" s="14">
        <v>3</v>
      </c>
      <c r="D44" s="14" t="s">
        <v>84</v>
      </c>
      <c r="E44" s="14" t="s">
        <v>33</v>
      </c>
      <c r="F44" s="14" t="s">
        <v>29</v>
      </c>
    </row>
    <row r="45" spans="1:6" x14ac:dyDescent="0.25">
      <c r="A45" s="9" t="str">
        <f>IF(D45="","",Overview!$B$1)</f>
        <v>ambr250</v>
      </c>
      <c r="B45" s="9">
        <v>44</v>
      </c>
      <c r="C45" s="14">
        <v>4</v>
      </c>
      <c r="D45" s="14" t="s">
        <v>86</v>
      </c>
      <c r="E45" s="14" t="s">
        <v>65</v>
      </c>
      <c r="F45" s="14" t="s">
        <v>29</v>
      </c>
    </row>
    <row r="46" spans="1:6" x14ac:dyDescent="0.25">
      <c r="A46" s="9" t="str">
        <f>IF(D46="","",Overview!$B$1)</f>
        <v>ambr250</v>
      </c>
      <c r="B46" s="9">
        <v>45</v>
      </c>
      <c r="C46" s="14">
        <v>4</v>
      </c>
      <c r="D46" s="14" t="s">
        <v>81</v>
      </c>
      <c r="E46" s="14" t="s">
        <v>32</v>
      </c>
      <c r="F46" s="14" t="s">
        <v>29</v>
      </c>
    </row>
    <row r="47" spans="1:6" x14ac:dyDescent="0.25">
      <c r="A47" s="9" t="str">
        <f>IF(D47="","",Overview!$B$1)</f>
        <v>ambr250</v>
      </c>
      <c r="B47" s="9">
        <v>46</v>
      </c>
      <c r="C47" s="14">
        <v>4</v>
      </c>
      <c r="D47" s="14" t="s">
        <v>85</v>
      </c>
      <c r="E47" s="14" t="s">
        <v>26</v>
      </c>
      <c r="F47" s="14" t="s">
        <v>24</v>
      </c>
    </row>
    <row r="48" spans="1:6" x14ac:dyDescent="0.25">
      <c r="A48" s="9" t="str">
        <f>IF(D48="","",Overview!$B$1)</f>
        <v>ambr250</v>
      </c>
      <c r="B48" s="9">
        <v>47</v>
      </c>
      <c r="C48" s="14">
        <v>4</v>
      </c>
      <c r="D48" s="14" t="s">
        <v>87</v>
      </c>
      <c r="E48" s="14" t="s">
        <v>30</v>
      </c>
      <c r="F48" s="14" t="s">
        <v>34</v>
      </c>
    </row>
    <row r="49" spans="1:6" x14ac:dyDescent="0.25">
      <c r="A49" s="9" t="str">
        <f>IF(D49="","",Overview!$B$1)</f>
        <v>ambr250</v>
      </c>
      <c r="B49" s="9">
        <v>48</v>
      </c>
      <c r="C49" s="14">
        <v>4</v>
      </c>
      <c r="D49" s="14" t="s">
        <v>88</v>
      </c>
      <c r="E49" s="14" t="s">
        <v>83</v>
      </c>
      <c r="F49" s="14" t="s">
        <v>24</v>
      </c>
    </row>
    <row r="50" spans="1:6" x14ac:dyDescent="0.25">
      <c r="A50" s="9" t="str">
        <f>IF(D50="","",Overview!$B$1)</f>
        <v>ambr250</v>
      </c>
      <c r="B50" s="9">
        <v>49</v>
      </c>
      <c r="C50" s="14">
        <v>4</v>
      </c>
      <c r="D50" s="14" t="s">
        <v>82</v>
      </c>
      <c r="E50" s="14" t="s">
        <v>83</v>
      </c>
      <c r="F50" s="14" t="s">
        <v>29</v>
      </c>
    </row>
    <row r="51" spans="1:6" x14ac:dyDescent="0.25">
      <c r="A51" s="9" t="str">
        <f>IF(D51="","",Overview!$B$1)</f>
        <v>ambr250</v>
      </c>
      <c r="B51" s="9">
        <v>50</v>
      </c>
      <c r="C51" s="14">
        <v>4</v>
      </c>
      <c r="D51" s="14" t="s">
        <v>84</v>
      </c>
      <c r="E51" s="14" t="s">
        <v>33</v>
      </c>
      <c r="F51" s="14" t="s">
        <v>29</v>
      </c>
    </row>
    <row r="52" spans="1:6" x14ac:dyDescent="0.25">
      <c r="A52" s="9" t="str">
        <f>IF(D52="","",Overview!$B$1)</f>
        <v>ambr250</v>
      </c>
      <c r="B52" s="9">
        <v>51</v>
      </c>
      <c r="C52" s="14">
        <v>5</v>
      </c>
      <c r="D52" s="14" t="s">
        <v>86</v>
      </c>
      <c r="E52" s="14" t="s">
        <v>65</v>
      </c>
      <c r="F52" s="14" t="s">
        <v>29</v>
      </c>
    </row>
    <row r="53" spans="1:6" x14ac:dyDescent="0.25">
      <c r="A53" s="9" t="str">
        <f>IF(D53="","",Overview!$B$1)</f>
        <v>ambr250</v>
      </c>
      <c r="B53" s="9">
        <v>52</v>
      </c>
      <c r="C53" s="14">
        <v>5</v>
      </c>
      <c r="D53" s="14" t="s">
        <v>81</v>
      </c>
      <c r="E53" s="14" t="s">
        <v>32</v>
      </c>
      <c r="F53" s="14" t="s">
        <v>29</v>
      </c>
    </row>
    <row r="54" spans="1:6" x14ac:dyDescent="0.25">
      <c r="A54" s="9" t="str">
        <f>IF(D54="","",Overview!$B$1)</f>
        <v>ambr250</v>
      </c>
      <c r="B54" s="9">
        <v>53</v>
      </c>
      <c r="C54" s="14">
        <v>5</v>
      </c>
      <c r="D54" s="14" t="s">
        <v>85</v>
      </c>
      <c r="E54" s="14" t="s">
        <v>26</v>
      </c>
      <c r="F54" s="14" t="s">
        <v>24</v>
      </c>
    </row>
    <row r="55" spans="1:6" x14ac:dyDescent="0.25">
      <c r="A55" s="9" t="str">
        <f>IF(D55="","",Overview!$B$1)</f>
        <v>ambr250</v>
      </c>
      <c r="B55" s="9">
        <v>54</v>
      </c>
      <c r="C55" s="14">
        <v>5</v>
      </c>
      <c r="D55" s="14" t="s">
        <v>87</v>
      </c>
      <c r="E55" s="14" t="s">
        <v>30</v>
      </c>
      <c r="F55" s="14" t="s">
        <v>34</v>
      </c>
    </row>
    <row r="56" spans="1:6" x14ac:dyDescent="0.25">
      <c r="A56" s="9" t="str">
        <f>IF(D56="","",Overview!$B$1)</f>
        <v>ambr250</v>
      </c>
      <c r="B56" s="9">
        <v>55</v>
      </c>
      <c r="C56" s="14">
        <v>5</v>
      </c>
      <c r="D56" s="14" t="s">
        <v>88</v>
      </c>
      <c r="E56" s="14" t="s">
        <v>83</v>
      </c>
      <c r="F56" s="14" t="s">
        <v>24</v>
      </c>
    </row>
    <row r="57" spans="1:6" x14ac:dyDescent="0.25">
      <c r="A57" s="9" t="str">
        <f>IF(D57="","",Overview!$B$1)</f>
        <v>ambr250</v>
      </c>
      <c r="B57" s="9">
        <v>56</v>
      </c>
      <c r="C57" s="14">
        <v>5</v>
      </c>
      <c r="D57" s="14" t="s">
        <v>82</v>
      </c>
      <c r="E57" s="14" t="s">
        <v>83</v>
      </c>
      <c r="F57" s="14" t="s">
        <v>29</v>
      </c>
    </row>
    <row r="58" spans="1:6" x14ac:dyDescent="0.25">
      <c r="A58" s="9" t="str">
        <f>IF(D58="","",Overview!$B$1)</f>
        <v>ambr250</v>
      </c>
      <c r="B58" s="9">
        <v>57</v>
      </c>
      <c r="C58" s="14">
        <v>5</v>
      </c>
      <c r="D58" s="14" t="s">
        <v>84</v>
      </c>
      <c r="E58" s="14" t="s">
        <v>33</v>
      </c>
      <c r="F58" s="14" t="s">
        <v>29</v>
      </c>
    </row>
    <row r="59" spans="1:6" x14ac:dyDescent="0.25">
      <c r="A59" s="9" t="str">
        <f>IF(D59="","",Overview!$B$1)</f>
        <v>ambr250</v>
      </c>
      <c r="B59" s="9">
        <v>58</v>
      </c>
      <c r="C59" s="14">
        <v>5</v>
      </c>
      <c r="D59" s="14" t="s">
        <v>89</v>
      </c>
      <c r="E59" s="14" t="s">
        <v>28</v>
      </c>
      <c r="F59" s="14" t="s">
        <v>24</v>
      </c>
    </row>
    <row r="60" spans="1:6" x14ac:dyDescent="0.25">
      <c r="A60" s="9" t="str">
        <f>IF(D60="","",Overview!$B$1)</f>
        <v>ambr250</v>
      </c>
      <c r="B60" s="9">
        <v>59</v>
      </c>
      <c r="C60" s="14">
        <v>5</v>
      </c>
      <c r="D60" s="14" t="s">
        <v>77</v>
      </c>
      <c r="E60" s="14" t="s">
        <v>28</v>
      </c>
      <c r="F60" s="14" t="s">
        <v>29</v>
      </c>
    </row>
    <row r="61" spans="1:6" x14ac:dyDescent="0.25">
      <c r="A61" s="9" t="str">
        <f>IF(D61="","",Overview!$B$1)</f>
        <v>ambr250</v>
      </c>
      <c r="B61" s="9">
        <v>60</v>
      </c>
      <c r="C61" s="14">
        <v>6</v>
      </c>
      <c r="D61" s="14" t="s">
        <v>86</v>
      </c>
      <c r="E61" s="14" t="s">
        <v>65</v>
      </c>
      <c r="F61" s="14" t="s">
        <v>29</v>
      </c>
    </row>
    <row r="62" spans="1:6" x14ac:dyDescent="0.25">
      <c r="A62" s="9" t="str">
        <f>IF(D62="","",Overview!$B$1)</f>
        <v>ambr250</v>
      </c>
      <c r="B62" s="9">
        <v>61</v>
      </c>
      <c r="C62" s="14">
        <v>6</v>
      </c>
      <c r="D62" s="14" t="s">
        <v>81</v>
      </c>
      <c r="E62" s="14" t="s">
        <v>32</v>
      </c>
      <c r="F62" s="14" t="s">
        <v>29</v>
      </c>
    </row>
    <row r="63" spans="1:6" x14ac:dyDescent="0.25">
      <c r="A63" s="9" t="str">
        <f>IF(D63="","",Overview!$B$1)</f>
        <v>ambr250</v>
      </c>
      <c r="B63" s="9">
        <v>62</v>
      </c>
      <c r="C63" s="14">
        <v>6</v>
      </c>
      <c r="D63" s="14" t="s">
        <v>85</v>
      </c>
      <c r="E63" s="14" t="s">
        <v>26</v>
      </c>
      <c r="F63" s="14" t="s">
        <v>24</v>
      </c>
    </row>
    <row r="64" spans="1:6" x14ac:dyDescent="0.25">
      <c r="A64" s="9" t="str">
        <f>IF(D64="","",Overview!$B$1)</f>
        <v>ambr250</v>
      </c>
      <c r="B64" s="9">
        <v>63</v>
      </c>
      <c r="C64" s="14">
        <v>6</v>
      </c>
      <c r="D64" s="14" t="s">
        <v>87</v>
      </c>
      <c r="E64" s="14" t="s">
        <v>30</v>
      </c>
      <c r="F64" s="14" t="s">
        <v>34</v>
      </c>
    </row>
    <row r="65" spans="1:6" x14ac:dyDescent="0.25">
      <c r="A65" s="9" t="str">
        <f>IF(D65="","",Overview!$B$1)</f>
        <v>ambr250</v>
      </c>
      <c r="B65" s="9">
        <v>64</v>
      </c>
      <c r="C65" s="14">
        <v>6</v>
      </c>
      <c r="D65" s="14" t="s">
        <v>88</v>
      </c>
      <c r="E65" s="14" t="s">
        <v>83</v>
      </c>
      <c r="F65" s="14" t="s">
        <v>24</v>
      </c>
    </row>
    <row r="66" spans="1:6" x14ac:dyDescent="0.25">
      <c r="A66" s="9" t="str">
        <f>IF(D66="","",Overview!$B$1)</f>
        <v>ambr250</v>
      </c>
      <c r="B66" s="9">
        <v>65</v>
      </c>
      <c r="C66" s="14">
        <v>6</v>
      </c>
      <c r="D66" s="14" t="s">
        <v>82</v>
      </c>
      <c r="E66" s="14" t="s">
        <v>83</v>
      </c>
      <c r="F66" s="14" t="s">
        <v>29</v>
      </c>
    </row>
    <row r="67" spans="1:6" x14ac:dyDescent="0.25">
      <c r="A67" s="9" t="str">
        <f>IF(D67="","",Overview!$B$1)</f>
        <v>ambr250</v>
      </c>
      <c r="B67" s="9">
        <v>66</v>
      </c>
      <c r="C67" s="14">
        <v>6</v>
      </c>
      <c r="D67" s="14" t="s">
        <v>84</v>
      </c>
      <c r="E67" s="14" t="s">
        <v>33</v>
      </c>
      <c r="F67" s="14" t="s">
        <v>29</v>
      </c>
    </row>
    <row r="68" spans="1:6" x14ac:dyDescent="0.25">
      <c r="A68" s="9" t="str">
        <f>IF(D68="","",Overview!$B$1)</f>
        <v>ambr250</v>
      </c>
      <c r="B68" s="9">
        <v>67</v>
      </c>
      <c r="C68" s="14">
        <v>7</v>
      </c>
      <c r="D68" s="14" t="s">
        <v>86</v>
      </c>
      <c r="E68" s="14" t="s">
        <v>65</v>
      </c>
      <c r="F68" s="14" t="s">
        <v>29</v>
      </c>
    </row>
    <row r="69" spans="1:6" x14ac:dyDescent="0.25">
      <c r="A69" s="9" t="str">
        <f>IF(D69="","",Overview!$B$1)</f>
        <v>ambr250</v>
      </c>
      <c r="B69" s="9">
        <v>68</v>
      </c>
      <c r="C69" s="14">
        <v>7</v>
      </c>
      <c r="D69" s="14" t="s">
        <v>81</v>
      </c>
      <c r="E69" s="14" t="s">
        <v>32</v>
      </c>
      <c r="F69" s="14" t="s">
        <v>29</v>
      </c>
    </row>
    <row r="70" spans="1:6" x14ac:dyDescent="0.25">
      <c r="A70" s="9" t="str">
        <f>IF(D70="","",Overview!$B$1)</f>
        <v>ambr250</v>
      </c>
      <c r="B70" s="9">
        <v>69</v>
      </c>
      <c r="C70" s="14">
        <v>7</v>
      </c>
      <c r="D70" s="14" t="s">
        <v>85</v>
      </c>
      <c r="E70" s="14" t="s">
        <v>26</v>
      </c>
      <c r="F70" s="14" t="s">
        <v>24</v>
      </c>
    </row>
    <row r="71" spans="1:6" x14ac:dyDescent="0.25">
      <c r="A71" s="9" t="str">
        <f>IF(D71="","",Overview!$B$1)</f>
        <v>ambr250</v>
      </c>
      <c r="B71" s="9">
        <v>70</v>
      </c>
      <c r="C71" s="14">
        <v>7</v>
      </c>
      <c r="D71" s="14" t="s">
        <v>87</v>
      </c>
      <c r="E71" s="14" t="s">
        <v>30</v>
      </c>
      <c r="F71" s="14" t="s">
        <v>34</v>
      </c>
    </row>
    <row r="72" spans="1:6" x14ac:dyDescent="0.25">
      <c r="A72" s="9" t="str">
        <f>IF(D72="","",Overview!$B$1)</f>
        <v>ambr250</v>
      </c>
      <c r="B72" s="9">
        <v>71</v>
      </c>
      <c r="C72" s="14">
        <v>7</v>
      </c>
      <c r="D72" s="14" t="s">
        <v>88</v>
      </c>
      <c r="E72" s="14" t="s">
        <v>83</v>
      </c>
      <c r="F72" s="14" t="s">
        <v>24</v>
      </c>
    </row>
    <row r="73" spans="1:6" x14ac:dyDescent="0.25">
      <c r="A73" s="9" t="str">
        <f>IF(D73="","",Overview!$B$1)</f>
        <v>ambr250</v>
      </c>
      <c r="B73" s="9">
        <v>72</v>
      </c>
      <c r="C73" s="14">
        <v>7</v>
      </c>
      <c r="D73" s="14" t="s">
        <v>82</v>
      </c>
      <c r="E73" s="14" t="s">
        <v>83</v>
      </c>
      <c r="F73" s="14" t="s">
        <v>29</v>
      </c>
    </row>
    <row r="74" spans="1:6" x14ac:dyDescent="0.25">
      <c r="A74" s="9" t="str">
        <f>IF(D74="","",Overview!$B$1)</f>
        <v>ambr250</v>
      </c>
      <c r="B74" s="9">
        <v>73</v>
      </c>
      <c r="C74" s="14">
        <v>7</v>
      </c>
      <c r="D74" s="14" t="s">
        <v>84</v>
      </c>
      <c r="E74" s="14" t="s">
        <v>33</v>
      </c>
      <c r="F74" s="14" t="s">
        <v>29</v>
      </c>
    </row>
    <row r="75" spans="1:6" x14ac:dyDescent="0.25">
      <c r="A75" s="9" t="str">
        <f>IF(D75="","",Overview!$B$1)</f>
        <v>ambr250</v>
      </c>
      <c r="B75" s="9">
        <v>74</v>
      </c>
      <c r="C75" s="14">
        <v>7</v>
      </c>
      <c r="D75" s="14" t="s">
        <v>89</v>
      </c>
      <c r="E75" s="14" t="s">
        <v>28</v>
      </c>
      <c r="F75" s="14" t="s">
        <v>24</v>
      </c>
    </row>
    <row r="76" spans="1:6" x14ac:dyDescent="0.25">
      <c r="A76" s="9" t="str">
        <f>IF(D76="","",Overview!$B$1)</f>
        <v>ambr250</v>
      </c>
      <c r="B76" s="9">
        <v>75</v>
      </c>
      <c r="C76" s="14">
        <v>7</v>
      </c>
      <c r="D76" s="14" t="s">
        <v>77</v>
      </c>
      <c r="E76" s="14" t="s">
        <v>28</v>
      </c>
      <c r="F76" s="14" t="s">
        <v>29</v>
      </c>
    </row>
    <row r="77" spans="1:6" x14ac:dyDescent="0.25">
      <c r="A77" s="9" t="str">
        <f>IF(D77="","",Overview!$B$1)</f>
        <v>ambr250</v>
      </c>
      <c r="B77" s="9">
        <v>76</v>
      </c>
      <c r="C77" s="14">
        <v>8</v>
      </c>
      <c r="D77" s="14" t="s">
        <v>86</v>
      </c>
      <c r="E77" s="14" t="s">
        <v>65</v>
      </c>
      <c r="F77" s="14" t="s">
        <v>29</v>
      </c>
    </row>
    <row r="78" spans="1:6" x14ac:dyDescent="0.25">
      <c r="A78" s="9" t="str">
        <f>IF(D78="","",Overview!$B$1)</f>
        <v>ambr250</v>
      </c>
      <c r="B78" s="9">
        <v>77</v>
      </c>
      <c r="C78" s="14">
        <v>8</v>
      </c>
      <c r="D78" s="14" t="s">
        <v>81</v>
      </c>
      <c r="E78" s="14" t="s">
        <v>32</v>
      </c>
      <c r="F78" s="14" t="s">
        <v>29</v>
      </c>
    </row>
    <row r="79" spans="1:6" x14ac:dyDescent="0.25">
      <c r="A79" s="9" t="str">
        <f>IF(D79="","",Overview!$B$1)</f>
        <v>ambr250</v>
      </c>
      <c r="B79" s="9">
        <v>78</v>
      </c>
      <c r="C79" s="14">
        <v>8</v>
      </c>
      <c r="D79" s="14" t="s">
        <v>85</v>
      </c>
      <c r="E79" s="14" t="s">
        <v>26</v>
      </c>
      <c r="F79" s="14" t="s">
        <v>24</v>
      </c>
    </row>
    <row r="80" spans="1:6" x14ac:dyDescent="0.25">
      <c r="A80" s="9" t="str">
        <f>IF(D80="","",Overview!$B$1)</f>
        <v>ambr250</v>
      </c>
      <c r="B80" s="9">
        <v>79</v>
      </c>
      <c r="C80" s="14">
        <v>8</v>
      </c>
      <c r="D80" s="14" t="s">
        <v>87</v>
      </c>
      <c r="E80" s="14" t="s">
        <v>30</v>
      </c>
      <c r="F80" s="14" t="s">
        <v>34</v>
      </c>
    </row>
    <row r="81" spans="1:6" x14ac:dyDescent="0.25">
      <c r="A81" s="9" t="str">
        <f>IF(D81="","",Overview!$B$1)</f>
        <v>ambr250</v>
      </c>
      <c r="B81" s="9">
        <v>80</v>
      </c>
      <c r="C81" s="14">
        <v>8</v>
      </c>
      <c r="D81" s="14" t="s">
        <v>88</v>
      </c>
      <c r="E81" s="14" t="s">
        <v>83</v>
      </c>
      <c r="F81" s="14" t="s">
        <v>24</v>
      </c>
    </row>
    <row r="82" spans="1:6" x14ac:dyDescent="0.25">
      <c r="A82" s="9" t="str">
        <f>IF(D82="","",Overview!$B$1)</f>
        <v>ambr250</v>
      </c>
      <c r="B82" s="9">
        <v>81</v>
      </c>
      <c r="C82" s="14">
        <v>8</v>
      </c>
      <c r="D82" s="14" t="s">
        <v>82</v>
      </c>
      <c r="E82" s="14" t="s">
        <v>83</v>
      </c>
      <c r="F82" s="14" t="s">
        <v>29</v>
      </c>
    </row>
    <row r="83" spans="1:6" x14ac:dyDescent="0.25">
      <c r="A83" s="9" t="str">
        <f>IF(D83="","",Overview!$B$1)</f>
        <v>ambr250</v>
      </c>
      <c r="B83" s="9">
        <v>82</v>
      </c>
      <c r="C83" s="14">
        <v>8</v>
      </c>
      <c r="D83" s="14" t="s">
        <v>84</v>
      </c>
      <c r="E83" s="14" t="s">
        <v>33</v>
      </c>
      <c r="F83" s="14" t="s">
        <v>29</v>
      </c>
    </row>
    <row r="84" spans="1:6" x14ac:dyDescent="0.25">
      <c r="A84" s="9" t="str">
        <f>IF(D84="","",Overview!$B$1)</f>
        <v>ambr250</v>
      </c>
      <c r="B84" s="9">
        <v>83</v>
      </c>
      <c r="C84" s="14">
        <v>9</v>
      </c>
      <c r="D84" s="14" t="s">
        <v>86</v>
      </c>
      <c r="E84" s="14" t="s">
        <v>65</v>
      </c>
      <c r="F84" s="14" t="s">
        <v>29</v>
      </c>
    </row>
    <row r="85" spans="1:6" x14ac:dyDescent="0.25">
      <c r="A85" s="9" t="str">
        <f>IF(D85="","",Overview!$B$1)</f>
        <v>ambr250</v>
      </c>
      <c r="B85" s="9">
        <v>84</v>
      </c>
      <c r="C85" s="14">
        <v>9</v>
      </c>
      <c r="D85" s="14" t="s">
        <v>81</v>
      </c>
      <c r="E85" s="14" t="s">
        <v>32</v>
      </c>
      <c r="F85" s="14" t="s">
        <v>29</v>
      </c>
    </row>
    <row r="86" spans="1:6" x14ac:dyDescent="0.25">
      <c r="A86" s="9" t="str">
        <f>IF(D86="","",Overview!$B$1)</f>
        <v>ambr250</v>
      </c>
      <c r="B86" s="9">
        <v>85</v>
      </c>
      <c r="C86" s="14">
        <v>9</v>
      </c>
      <c r="D86" s="14" t="s">
        <v>85</v>
      </c>
      <c r="E86" s="14" t="s">
        <v>26</v>
      </c>
      <c r="F86" s="14" t="s">
        <v>24</v>
      </c>
    </row>
    <row r="87" spans="1:6" x14ac:dyDescent="0.25">
      <c r="A87" s="9" t="str">
        <f>IF(D87="","",Overview!$B$1)</f>
        <v>ambr250</v>
      </c>
      <c r="B87" s="9">
        <v>86</v>
      </c>
      <c r="C87" s="14">
        <v>9</v>
      </c>
      <c r="D87" s="14" t="s">
        <v>87</v>
      </c>
      <c r="E87" s="14" t="s">
        <v>30</v>
      </c>
      <c r="F87" s="14" t="s">
        <v>34</v>
      </c>
    </row>
    <row r="88" spans="1:6" x14ac:dyDescent="0.25">
      <c r="A88" s="9" t="str">
        <f>IF(D88="","",Overview!$B$1)</f>
        <v>ambr250</v>
      </c>
      <c r="B88" s="9">
        <v>87</v>
      </c>
      <c r="C88" s="14">
        <v>9</v>
      </c>
      <c r="D88" s="14" t="s">
        <v>88</v>
      </c>
      <c r="E88" s="14" t="s">
        <v>83</v>
      </c>
      <c r="F88" s="14" t="s">
        <v>24</v>
      </c>
    </row>
    <row r="89" spans="1:6" x14ac:dyDescent="0.25">
      <c r="A89" s="9" t="str">
        <f>IF(D89="","",Overview!$B$1)</f>
        <v>ambr250</v>
      </c>
      <c r="B89" s="9">
        <v>88</v>
      </c>
      <c r="C89" s="14">
        <v>9</v>
      </c>
      <c r="D89" s="14" t="s">
        <v>82</v>
      </c>
      <c r="E89" s="14" t="s">
        <v>83</v>
      </c>
      <c r="F89" s="14" t="s">
        <v>29</v>
      </c>
    </row>
    <row r="90" spans="1:6" x14ac:dyDescent="0.25">
      <c r="A90" s="9" t="str">
        <f>IF(D90="","",Overview!$B$1)</f>
        <v>ambr250</v>
      </c>
      <c r="B90" s="9">
        <v>89</v>
      </c>
      <c r="C90" s="14">
        <v>9</v>
      </c>
      <c r="D90" s="14" t="s">
        <v>84</v>
      </c>
      <c r="E90" s="14" t="s">
        <v>33</v>
      </c>
      <c r="F90" s="14" t="s">
        <v>29</v>
      </c>
    </row>
    <row r="91" spans="1:6" x14ac:dyDescent="0.25">
      <c r="A91" s="9" t="str">
        <f>IF(D91="","",Overview!$B$1)</f>
        <v>ambr250</v>
      </c>
      <c r="B91" s="9">
        <v>90</v>
      </c>
      <c r="C91" s="14">
        <v>9</v>
      </c>
      <c r="D91" s="14" t="s">
        <v>89</v>
      </c>
      <c r="E91" s="14" t="s">
        <v>28</v>
      </c>
      <c r="F91" s="14" t="s">
        <v>24</v>
      </c>
    </row>
    <row r="92" spans="1:6" x14ac:dyDescent="0.25">
      <c r="A92" s="9" t="str">
        <f>IF(D92="","",Overview!$B$1)</f>
        <v>ambr250</v>
      </c>
      <c r="B92" s="9">
        <v>91</v>
      </c>
      <c r="C92" s="14">
        <v>9</v>
      </c>
      <c r="D92" s="14" t="s">
        <v>77</v>
      </c>
      <c r="E92" s="14" t="s">
        <v>28</v>
      </c>
      <c r="F92" s="14" t="s">
        <v>29</v>
      </c>
    </row>
    <row r="93" spans="1:6" x14ac:dyDescent="0.25">
      <c r="A93" s="9" t="str">
        <f>IF(D93="","",Overview!$B$1)</f>
        <v>ambr250</v>
      </c>
      <c r="B93" s="9">
        <v>92</v>
      </c>
      <c r="C93" s="14">
        <v>10</v>
      </c>
      <c r="D93" s="14" t="s">
        <v>86</v>
      </c>
      <c r="E93" s="14" t="s">
        <v>65</v>
      </c>
      <c r="F93" s="14" t="s">
        <v>29</v>
      </c>
    </row>
    <row r="94" spans="1:6" x14ac:dyDescent="0.25">
      <c r="A94" s="9" t="str">
        <f>IF(D94="","",Overview!$B$1)</f>
        <v>ambr250</v>
      </c>
      <c r="B94" s="9">
        <v>93</v>
      </c>
      <c r="C94" s="14">
        <v>10</v>
      </c>
      <c r="D94" s="14" t="s">
        <v>81</v>
      </c>
      <c r="E94" s="14" t="s">
        <v>32</v>
      </c>
      <c r="F94" s="14" t="s">
        <v>29</v>
      </c>
    </row>
    <row r="95" spans="1:6" x14ac:dyDescent="0.25">
      <c r="A95" s="9" t="str">
        <f>IF(D95="","",Overview!$B$1)</f>
        <v>ambr250</v>
      </c>
      <c r="B95" s="9">
        <v>94</v>
      </c>
      <c r="C95" s="14">
        <v>10</v>
      </c>
      <c r="D95" s="14" t="s">
        <v>85</v>
      </c>
      <c r="E95" s="14" t="s">
        <v>26</v>
      </c>
      <c r="F95" s="14" t="s">
        <v>24</v>
      </c>
    </row>
    <row r="96" spans="1:6" x14ac:dyDescent="0.25">
      <c r="A96" s="9" t="str">
        <f>IF(D96="","",Overview!$B$1)</f>
        <v>ambr250</v>
      </c>
      <c r="B96" s="9">
        <v>95</v>
      </c>
      <c r="C96" s="14">
        <v>10</v>
      </c>
      <c r="D96" s="14" t="s">
        <v>87</v>
      </c>
      <c r="E96" s="14" t="s">
        <v>30</v>
      </c>
      <c r="F96" s="14" t="s">
        <v>34</v>
      </c>
    </row>
    <row r="97" spans="1:6" x14ac:dyDescent="0.25">
      <c r="A97" s="9" t="str">
        <f>IF(D97="","",Overview!$B$1)</f>
        <v>ambr250</v>
      </c>
      <c r="B97" s="9">
        <v>96</v>
      </c>
      <c r="C97" s="14">
        <v>10</v>
      </c>
      <c r="D97" s="14" t="s">
        <v>88</v>
      </c>
      <c r="E97" s="14" t="s">
        <v>83</v>
      </c>
      <c r="F97" s="14" t="s">
        <v>24</v>
      </c>
    </row>
    <row r="98" spans="1:6" x14ac:dyDescent="0.25">
      <c r="A98" s="9" t="str">
        <f>IF(D98="","",Overview!$B$1)</f>
        <v>ambr250</v>
      </c>
      <c r="B98" s="9">
        <v>97</v>
      </c>
      <c r="C98" s="14">
        <v>10</v>
      </c>
      <c r="D98" s="14" t="s">
        <v>82</v>
      </c>
      <c r="E98" s="14" t="s">
        <v>83</v>
      </c>
      <c r="F98" s="14" t="s">
        <v>29</v>
      </c>
    </row>
    <row r="99" spans="1:6" x14ac:dyDescent="0.25">
      <c r="A99" s="9" t="str">
        <f>IF(D99="","",Overview!$B$1)</f>
        <v>ambr250</v>
      </c>
      <c r="B99" s="9">
        <v>98</v>
      </c>
      <c r="C99" s="14">
        <v>10</v>
      </c>
      <c r="D99" s="14" t="s">
        <v>84</v>
      </c>
      <c r="E99" s="14" t="s">
        <v>33</v>
      </c>
      <c r="F99" s="14" t="s">
        <v>29</v>
      </c>
    </row>
    <row r="100" spans="1:6" x14ac:dyDescent="0.25">
      <c r="A100" s="9" t="str">
        <f>IF(D100="","",Overview!$B$1)</f>
        <v>ambr250</v>
      </c>
      <c r="B100" s="9">
        <v>99</v>
      </c>
      <c r="C100" s="14">
        <v>11</v>
      </c>
      <c r="D100" s="14" t="s">
        <v>86</v>
      </c>
      <c r="E100" s="14" t="s">
        <v>65</v>
      </c>
      <c r="F100" s="14" t="s">
        <v>29</v>
      </c>
    </row>
    <row r="101" spans="1:6" x14ac:dyDescent="0.25">
      <c r="A101" s="9" t="str">
        <f>IF(D101="","",Overview!$B$1)</f>
        <v>ambr250</v>
      </c>
      <c r="B101" s="9">
        <v>100</v>
      </c>
      <c r="C101" s="14">
        <v>11</v>
      </c>
      <c r="D101" s="14" t="s">
        <v>81</v>
      </c>
      <c r="E101" s="14" t="s">
        <v>32</v>
      </c>
      <c r="F101" s="14" t="s">
        <v>29</v>
      </c>
    </row>
    <row r="102" spans="1:6" x14ac:dyDescent="0.25">
      <c r="A102" s="9" t="str">
        <f>IF(D102="","",Overview!$B$1)</f>
        <v>ambr250</v>
      </c>
      <c r="B102" s="9">
        <v>101</v>
      </c>
      <c r="C102" s="14">
        <v>11</v>
      </c>
      <c r="D102" s="14" t="s">
        <v>85</v>
      </c>
      <c r="E102" s="14" t="s">
        <v>26</v>
      </c>
      <c r="F102" s="14" t="s">
        <v>24</v>
      </c>
    </row>
    <row r="103" spans="1:6" x14ac:dyDescent="0.25">
      <c r="A103" s="9" t="str">
        <f>IF(D103="","",Overview!$B$1)</f>
        <v>ambr250</v>
      </c>
      <c r="B103" s="9">
        <v>102</v>
      </c>
      <c r="C103" s="14">
        <v>11</v>
      </c>
      <c r="D103" s="14" t="s">
        <v>87</v>
      </c>
      <c r="E103" s="14" t="s">
        <v>30</v>
      </c>
      <c r="F103" s="14" t="s">
        <v>34</v>
      </c>
    </row>
    <row r="104" spans="1:6" x14ac:dyDescent="0.25">
      <c r="A104" s="9" t="str">
        <f>IF(D104="","",Overview!$B$1)</f>
        <v>ambr250</v>
      </c>
      <c r="B104" s="9">
        <v>103</v>
      </c>
      <c r="C104" s="14">
        <v>11</v>
      </c>
      <c r="D104" s="14" t="s">
        <v>88</v>
      </c>
      <c r="E104" s="14" t="s">
        <v>83</v>
      </c>
      <c r="F104" s="14" t="s">
        <v>24</v>
      </c>
    </row>
    <row r="105" spans="1:6" x14ac:dyDescent="0.25">
      <c r="A105" s="9" t="str">
        <f>IF(D105="","",Overview!$B$1)</f>
        <v>ambr250</v>
      </c>
      <c r="B105" s="9">
        <v>104</v>
      </c>
      <c r="C105" s="14">
        <v>11</v>
      </c>
      <c r="D105" s="14" t="s">
        <v>82</v>
      </c>
      <c r="E105" s="14" t="s">
        <v>83</v>
      </c>
      <c r="F105" s="14" t="s">
        <v>29</v>
      </c>
    </row>
    <row r="106" spans="1:6" x14ac:dyDescent="0.25">
      <c r="A106" s="9" t="str">
        <f>IF(D106="","",Overview!$B$1)</f>
        <v>ambr250</v>
      </c>
      <c r="B106" s="9">
        <v>105</v>
      </c>
      <c r="C106" s="14">
        <v>11</v>
      </c>
      <c r="D106" s="14" t="s">
        <v>84</v>
      </c>
      <c r="E106" s="14" t="s">
        <v>33</v>
      </c>
      <c r="F106" s="14" t="s">
        <v>29</v>
      </c>
    </row>
    <row r="107" spans="1:6" x14ac:dyDescent="0.25">
      <c r="A107" s="9" t="str">
        <f>IF(D107="","",Overview!$B$1)</f>
        <v>ambr250</v>
      </c>
      <c r="B107" s="9">
        <v>106</v>
      </c>
      <c r="C107" s="14">
        <v>12</v>
      </c>
      <c r="D107" s="14" t="s">
        <v>86</v>
      </c>
      <c r="E107" s="14" t="s">
        <v>65</v>
      </c>
      <c r="F107" s="14" t="s">
        <v>29</v>
      </c>
    </row>
    <row r="108" spans="1:6" x14ac:dyDescent="0.25">
      <c r="A108" s="9" t="str">
        <f>IF(D108="","",Overview!$B$1)</f>
        <v>ambr250</v>
      </c>
      <c r="B108" s="9">
        <v>107</v>
      </c>
      <c r="C108" s="14">
        <v>12</v>
      </c>
      <c r="D108" s="14" t="s">
        <v>81</v>
      </c>
      <c r="E108" s="14" t="s">
        <v>32</v>
      </c>
      <c r="F108" s="14" t="s">
        <v>29</v>
      </c>
    </row>
    <row r="109" spans="1:6" x14ac:dyDescent="0.25">
      <c r="A109" s="9" t="str">
        <f>IF(D109="","",Overview!$B$1)</f>
        <v>ambr250</v>
      </c>
      <c r="B109" s="9">
        <v>108</v>
      </c>
      <c r="C109" s="14">
        <v>12</v>
      </c>
      <c r="D109" s="14" t="s">
        <v>85</v>
      </c>
      <c r="E109" s="14" t="s">
        <v>26</v>
      </c>
      <c r="F109" s="14" t="s">
        <v>24</v>
      </c>
    </row>
    <row r="110" spans="1:6" x14ac:dyDescent="0.25">
      <c r="A110" s="9" t="str">
        <f>IF(D110="","",Overview!$B$1)</f>
        <v>ambr250</v>
      </c>
      <c r="B110" s="9">
        <v>109</v>
      </c>
      <c r="C110" s="14">
        <v>12</v>
      </c>
      <c r="D110" s="14" t="s">
        <v>87</v>
      </c>
      <c r="E110" s="14" t="s">
        <v>30</v>
      </c>
      <c r="F110" s="14" t="s">
        <v>34</v>
      </c>
    </row>
    <row r="111" spans="1:6" x14ac:dyDescent="0.25">
      <c r="A111" s="9" t="str">
        <f>IF(D111="","",Overview!$B$1)</f>
        <v>ambr250</v>
      </c>
      <c r="B111" s="9">
        <v>110</v>
      </c>
      <c r="C111" s="14">
        <v>12</v>
      </c>
      <c r="D111" s="14" t="s">
        <v>88</v>
      </c>
      <c r="E111" s="14" t="s">
        <v>83</v>
      </c>
      <c r="F111" s="14" t="s">
        <v>24</v>
      </c>
    </row>
    <row r="112" spans="1:6" x14ac:dyDescent="0.25">
      <c r="A112" s="9" t="str">
        <f>IF(D112="","",Overview!$B$1)</f>
        <v>ambr250</v>
      </c>
      <c r="B112" s="9">
        <v>111</v>
      </c>
      <c r="C112" s="14">
        <v>12</v>
      </c>
      <c r="D112" s="14" t="s">
        <v>82</v>
      </c>
      <c r="E112" s="14" t="s">
        <v>83</v>
      </c>
      <c r="F112" s="14" t="s">
        <v>29</v>
      </c>
    </row>
    <row r="113" spans="1:6" x14ac:dyDescent="0.25">
      <c r="A113" s="9" t="str">
        <f>IF(D113="","",Overview!$B$1)</f>
        <v>ambr250</v>
      </c>
      <c r="B113" s="9">
        <v>112</v>
      </c>
      <c r="C113" s="14">
        <v>12</v>
      </c>
      <c r="D113" s="14" t="s">
        <v>84</v>
      </c>
      <c r="E113" s="14" t="s">
        <v>33</v>
      </c>
      <c r="F113" s="14" t="s">
        <v>29</v>
      </c>
    </row>
    <row r="114" spans="1:6" x14ac:dyDescent="0.25">
      <c r="A114" s="9" t="str">
        <f>IF(D114="","",Overview!$B$1)</f>
        <v>ambr250</v>
      </c>
      <c r="B114" s="9">
        <v>113</v>
      </c>
      <c r="C114" s="14">
        <v>12</v>
      </c>
      <c r="D114" s="14" t="s">
        <v>89</v>
      </c>
      <c r="E114" s="14" t="s">
        <v>28</v>
      </c>
      <c r="F114" s="14" t="s">
        <v>24</v>
      </c>
    </row>
    <row r="115" spans="1:6" x14ac:dyDescent="0.25">
      <c r="A115" s="9" t="str">
        <f>IF(D115="","",Overview!$B$1)</f>
        <v>ambr250</v>
      </c>
      <c r="B115" s="9">
        <v>114</v>
      </c>
      <c r="C115" s="14">
        <v>12</v>
      </c>
      <c r="D115" s="14" t="s">
        <v>77</v>
      </c>
      <c r="E115" s="14" t="s">
        <v>28</v>
      </c>
      <c r="F115" s="14" t="s">
        <v>29</v>
      </c>
    </row>
    <row r="116" spans="1:6" x14ac:dyDescent="0.25">
      <c r="A116" s="9" t="str">
        <f>IF(D116="","",Overview!$B$1)</f>
        <v>ambr250</v>
      </c>
      <c r="B116" s="9">
        <v>115</v>
      </c>
      <c r="C116" s="14">
        <v>13</v>
      </c>
      <c r="D116" s="14" t="s">
        <v>86</v>
      </c>
      <c r="E116" s="14" t="s">
        <v>65</v>
      </c>
      <c r="F116" s="14" t="s">
        <v>29</v>
      </c>
    </row>
    <row r="117" spans="1:6" x14ac:dyDescent="0.25">
      <c r="A117" s="9" t="str">
        <f>IF(D117="","",Overview!$B$1)</f>
        <v>ambr250</v>
      </c>
      <c r="B117" s="9">
        <v>116</v>
      </c>
      <c r="C117" s="14">
        <v>13</v>
      </c>
      <c r="D117" s="14" t="s">
        <v>81</v>
      </c>
      <c r="E117" s="14" t="s">
        <v>32</v>
      </c>
      <c r="F117" s="14" t="s">
        <v>29</v>
      </c>
    </row>
    <row r="118" spans="1:6" x14ac:dyDescent="0.25">
      <c r="A118" s="9" t="str">
        <f>IF(D118="","",Overview!$B$1)</f>
        <v>ambr250</v>
      </c>
      <c r="B118" s="9">
        <v>117</v>
      </c>
      <c r="C118" s="14">
        <v>13</v>
      </c>
      <c r="D118" s="14" t="s">
        <v>85</v>
      </c>
      <c r="E118" s="14" t="s">
        <v>26</v>
      </c>
      <c r="F118" s="14" t="s">
        <v>24</v>
      </c>
    </row>
    <row r="119" spans="1:6" x14ac:dyDescent="0.25">
      <c r="A119" s="9" t="str">
        <f>IF(D119="","",Overview!$B$1)</f>
        <v>ambr250</v>
      </c>
      <c r="B119" s="9">
        <v>118</v>
      </c>
      <c r="C119" s="14">
        <v>13</v>
      </c>
      <c r="D119" s="14" t="s">
        <v>87</v>
      </c>
      <c r="E119" s="14" t="s">
        <v>30</v>
      </c>
      <c r="F119" s="14" t="s">
        <v>34</v>
      </c>
    </row>
    <row r="120" spans="1:6" x14ac:dyDescent="0.25">
      <c r="A120" s="9" t="str">
        <f>IF(D120="","",Overview!$B$1)</f>
        <v>ambr250</v>
      </c>
      <c r="B120" s="9">
        <v>119</v>
      </c>
      <c r="C120" s="14">
        <v>13</v>
      </c>
      <c r="D120" s="14" t="s">
        <v>88</v>
      </c>
      <c r="E120" s="14" t="s">
        <v>83</v>
      </c>
      <c r="F120" s="14" t="s">
        <v>24</v>
      </c>
    </row>
    <row r="121" spans="1:6" x14ac:dyDescent="0.25">
      <c r="A121" s="9" t="str">
        <f>IF(D121="","",Overview!$B$1)</f>
        <v>ambr250</v>
      </c>
      <c r="B121" s="9">
        <v>120</v>
      </c>
      <c r="C121" s="14">
        <v>13</v>
      </c>
      <c r="D121" s="14" t="s">
        <v>82</v>
      </c>
      <c r="E121" s="14" t="s">
        <v>83</v>
      </c>
      <c r="F121" s="14" t="s">
        <v>29</v>
      </c>
    </row>
    <row r="122" spans="1:6" x14ac:dyDescent="0.25">
      <c r="A122" s="9" t="str">
        <f>IF(D122="","",Overview!$B$1)</f>
        <v>ambr250</v>
      </c>
      <c r="B122" s="9">
        <v>121</v>
      </c>
      <c r="C122" s="14">
        <v>13</v>
      </c>
      <c r="D122" s="14" t="s">
        <v>84</v>
      </c>
      <c r="E122" s="14" t="s">
        <v>33</v>
      </c>
      <c r="F122" s="14" t="s">
        <v>29</v>
      </c>
    </row>
    <row r="123" spans="1:6" x14ac:dyDescent="0.25">
      <c r="A123" s="9" t="str">
        <f>IF(D123="","",Overview!$B$1)</f>
        <v>ambr250</v>
      </c>
      <c r="B123" s="9">
        <v>122</v>
      </c>
      <c r="C123" s="14">
        <v>14</v>
      </c>
      <c r="D123" s="14" t="s">
        <v>86</v>
      </c>
      <c r="E123" s="14" t="s">
        <v>65</v>
      </c>
      <c r="F123" s="14" t="s">
        <v>29</v>
      </c>
    </row>
    <row r="124" spans="1:6" x14ac:dyDescent="0.25">
      <c r="A124" s="9" t="str">
        <f>IF(D124="","",Overview!$B$1)</f>
        <v>ambr250</v>
      </c>
      <c r="B124" s="9">
        <v>123</v>
      </c>
      <c r="C124" s="14">
        <v>14</v>
      </c>
      <c r="D124" s="14" t="s">
        <v>81</v>
      </c>
      <c r="E124" s="14" t="s">
        <v>32</v>
      </c>
      <c r="F124" s="14" t="s">
        <v>29</v>
      </c>
    </row>
    <row r="125" spans="1:6" x14ac:dyDescent="0.25">
      <c r="A125" s="9" t="str">
        <f>IF(D125="","",Overview!$B$1)</f>
        <v>ambr250</v>
      </c>
      <c r="B125" s="9">
        <v>124</v>
      </c>
      <c r="C125" s="14">
        <v>14</v>
      </c>
      <c r="D125" s="14" t="s">
        <v>85</v>
      </c>
      <c r="E125" s="14" t="s">
        <v>26</v>
      </c>
      <c r="F125" s="14" t="s">
        <v>24</v>
      </c>
    </row>
    <row r="126" spans="1:6" x14ac:dyDescent="0.25">
      <c r="A126" s="9" t="str">
        <f>IF(D126="","",Overview!$B$1)</f>
        <v>ambr250</v>
      </c>
      <c r="B126" s="9">
        <v>125</v>
      </c>
      <c r="C126" s="14">
        <v>14</v>
      </c>
      <c r="D126" s="14" t="s">
        <v>87</v>
      </c>
      <c r="E126" s="14" t="s">
        <v>30</v>
      </c>
      <c r="F126" s="14" t="s">
        <v>34</v>
      </c>
    </row>
    <row r="127" spans="1:6" x14ac:dyDescent="0.25">
      <c r="A127" s="9" t="str">
        <f>IF(D127="","",Overview!$B$1)</f>
        <v>ambr250</v>
      </c>
      <c r="B127" s="9">
        <v>126</v>
      </c>
      <c r="C127" s="14">
        <v>14</v>
      </c>
      <c r="D127" s="14" t="s">
        <v>88</v>
      </c>
      <c r="E127" s="14" t="s">
        <v>83</v>
      </c>
      <c r="F127" s="14" t="s">
        <v>24</v>
      </c>
    </row>
    <row r="128" spans="1:6" x14ac:dyDescent="0.25">
      <c r="A128" s="9" t="str">
        <f>IF(D128="","",Overview!$B$1)</f>
        <v>ambr250</v>
      </c>
      <c r="B128" s="9">
        <v>127</v>
      </c>
      <c r="C128" s="14">
        <v>14</v>
      </c>
      <c r="D128" s="14" t="s">
        <v>82</v>
      </c>
      <c r="E128" s="14" t="s">
        <v>83</v>
      </c>
      <c r="F128" s="14" t="s">
        <v>29</v>
      </c>
    </row>
    <row r="129" spans="1:6" x14ac:dyDescent="0.25">
      <c r="A129" s="9" t="str">
        <f>IF(D129="","",Overview!$B$1)</f>
        <v>ambr250</v>
      </c>
      <c r="B129" s="9">
        <v>128</v>
      </c>
      <c r="C129" s="14">
        <v>14</v>
      </c>
      <c r="D129" s="14" t="s">
        <v>84</v>
      </c>
      <c r="E129" s="14" t="s">
        <v>33</v>
      </c>
      <c r="F129" s="14" t="s">
        <v>29</v>
      </c>
    </row>
    <row r="130" spans="1:6" x14ac:dyDescent="0.25">
      <c r="A130" s="9" t="str">
        <f>IF(D130="","",Overview!$B$1)</f>
        <v>ambr250</v>
      </c>
      <c r="B130" s="9">
        <v>129</v>
      </c>
      <c r="C130" s="14">
        <v>14</v>
      </c>
      <c r="D130" s="14" t="s">
        <v>89</v>
      </c>
      <c r="E130" s="14" t="s">
        <v>28</v>
      </c>
      <c r="F130" s="14" t="s">
        <v>24</v>
      </c>
    </row>
    <row r="131" spans="1:6" x14ac:dyDescent="0.25">
      <c r="A131" s="9" t="str">
        <f>IF(D131="","",Overview!$B$1)</f>
        <v>ambr250</v>
      </c>
      <c r="B131" s="9">
        <v>130</v>
      </c>
      <c r="C131" s="14">
        <v>14</v>
      </c>
      <c r="D131" s="14" t="s">
        <v>77</v>
      </c>
      <c r="E131" s="14" t="s">
        <v>28</v>
      </c>
      <c r="F131" s="14" t="s">
        <v>29</v>
      </c>
    </row>
    <row r="132" spans="1:6" x14ac:dyDescent="0.25">
      <c r="A132" s="9" t="str">
        <f>IF(D132="","",Overview!$B$1)</f>
        <v>ambr250</v>
      </c>
      <c r="B132" s="9">
        <v>131</v>
      </c>
      <c r="C132" s="14">
        <v>15</v>
      </c>
      <c r="D132" s="14" t="s">
        <v>86</v>
      </c>
      <c r="E132" s="14" t="s">
        <v>65</v>
      </c>
      <c r="F132" s="14" t="s">
        <v>29</v>
      </c>
    </row>
    <row r="133" spans="1:6" x14ac:dyDescent="0.25">
      <c r="A133" s="9" t="str">
        <f>IF(D133="","",Overview!$B$1)</f>
        <v>ambr250</v>
      </c>
      <c r="B133" s="9">
        <v>132</v>
      </c>
      <c r="C133" s="14">
        <v>15</v>
      </c>
      <c r="D133" s="14" t="s">
        <v>81</v>
      </c>
      <c r="E133" s="14" t="s">
        <v>32</v>
      </c>
      <c r="F133" s="14" t="s">
        <v>29</v>
      </c>
    </row>
    <row r="134" spans="1:6" x14ac:dyDescent="0.25">
      <c r="A134" s="9" t="str">
        <f>IF(D134="","",Overview!$B$1)</f>
        <v>ambr250</v>
      </c>
      <c r="B134" s="9">
        <v>133</v>
      </c>
      <c r="C134" s="14">
        <v>15</v>
      </c>
      <c r="D134" s="14" t="s">
        <v>85</v>
      </c>
      <c r="E134" s="14" t="s">
        <v>26</v>
      </c>
      <c r="F134" s="14" t="s">
        <v>24</v>
      </c>
    </row>
    <row r="135" spans="1:6" x14ac:dyDescent="0.25">
      <c r="A135" s="9" t="str">
        <f>IF(D135="","",Overview!$B$1)</f>
        <v>ambr250</v>
      </c>
      <c r="B135" s="9">
        <v>134</v>
      </c>
      <c r="C135" s="14">
        <v>15</v>
      </c>
      <c r="D135" s="14" t="s">
        <v>87</v>
      </c>
      <c r="E135" s="14" t="s">
        <v>30</v>
      </c>
      <c r="F135" s="14" t="s">
        <v>34</v>
      </c>
    </row>
    <row r="136" spans="1:6" x14ac:dyDescent="0.25">
      <c r="A136" s="9" t="str">
        <f>IF(D136="","",Overview!$B$1)</f>
        <v>ambr250</v>
      </c>
      <c r="B136" s="9">
        <v>135</v>
      </c>
      <c r="C136" s="14">
        <v>15</v>
      </c>
      <c r="D136" s="14" t="s">
        <v>88</v>
      </c>
      <c r="E136" s="14" t="s">
        <v>83</v>
      </c>
      <c r="F136" s="14" t="s">
        <v>24</v>
      </c>
    </row>
    <row r="137" spans="1:6" x14ac:dyDescent="0.25">
      <c r="A137" s="9" t="str">
        <f>IF(D137="","",Overview!$B$1)</f>
        <v>ambr250</v>
      </c>
      <c r="B137" s="9">
        <v>136</v>
      </c>
      <c r="C137" s="14">
        <v>15</v>
      </c>
      <c r="D137" s="14" t="s">
        <v>82</v>
      </c>
      <c r="E137" s="14" t="s">
        <v>83</v>
      </c>
      <c r="F137" s="14" t="s">
        <v>29</v>
      </c>
    </row>
    <row r="138" spans="1:6" x14ac:dyDescent="0.25">
      <c r="A138" s="9" t="str">
        <f>IF(D138="","",Overview!$B$1)</f>
        <v>ambr250</v>
      </c>
      <c r="B138" s="9">
        <v>137</v>
      </c>
      <c r="C138" s="14">
        <v>15</v>
      </c>
      <c r="D138" s="14" t="s">
        <v>84</v>
      </c>
      <c r="E138" s="14" t="s">
        <v>33</v>
      </c>
      <c r="F138" s="14" t="s">
        <v>29</v>
      </c>
    </row>
    <row r="139" spans="1:6" x14ac:dyDescent="0.25">
      <c r="A139" s="9" t="str">
        <f>IF(D139="","",Overview!$B$1)</f>
        <v>ambr250</v>
      </c>
      <c r="B139" s="9">
        <v>138</v>
      </c>
      <c r="C139" s="14">
        <v>16</v>
      </c>
      <c r="D139" s="14" t="s">
        <v>90</v>
      </c>
      <c r="E139" s="14" t="s">
        <v>65</v>
      </c>
      <c r="F139" s="14" t="s">
        <v>29</v>
      </c>
    </row>
    <row r="140" spans="1:6" x14ac:dyDescent="0.25">
      <c r="A140" s="9" t="str">
        <f>IF(D140="","",Overview!$B$1)</f>
        <v>ambr250</v>
      </c>
      <c r="B140" s="9">
        <v>139</v>
      </c>
      <c r="C140" s="14">
        <v>16</v>
      </c>
      <c r="D140" s="14" t="s">
        <v>91</v>
      </c>
      <c r="E140" s="14" t="s">
        <v>65</v>
      </c>
      <c r="F140" s="14" t="s">
        <v>29</v>
      </c>
    </row>
    <row r="141" spans="1:6" x14ac:dyDescent="0.25">
      <c r="A141" s="9" t="str">
        <f>IF(D141="","",Overview!$B$1)</f>
        <v>ambr250</v>
      </c>
      <c r="B141" s="9">
        <v>140</v>
      </c>
      <c r="C141" s="14">
        <v>16</v>
      </c>
      <c r="D141" s="14" t="s">
        <v>81</v>
      </c>
      <c r="E141" s="14" t="s">
        <v>32</v>
      </c>
      <c r="F141" s="14" t="s">
        <v>29</v>
      </c>
    </row>
    <row r="142" spans="1:6" x14ac:dyDescent="0.25">
      <c r="A142" s="9" t="str">
        <f>IF(D142="","",Overview!$B$1)</f>
        <v>ambr250</v>
      </c>
      <c r="B142" s="9">
        <v>141</v>
      </c>
      <c r="C142" s="14">
        <v>16</v>
      </c>
      <c r="D142" s="14" t="s">
        <v>85</v>
      </c>
      <c r="E142" s="14" t="s">
        <v>26</v>
      </c>
      <c r="F142" s="14" t="s">
        <v>24</v>
      </c>
    </row>
    <row r="143" spans="1:6" x14ac:dyDescent="0.25">
      <c r="A143" s="9" t="str">
        <f>IF(D143="","",Overview!$B$1)</f>
        <v>ambr250</v>
      </c>
      <c r="B143" s="9">
        <v>142</v>
      </c>
      <c r="C143" s="14">
        <v>16</v>
      </c>
      <c r="D143" s="14" t="s">
        <v>92</v>
      </c>
      <c r="E143" s="14" t="s">
        <v>30</v>
      </c>
      <c r="F143" s="14" t="s">
        <v>34</v>
      </c>
    </row>
    <row r="144" spans="1:6" x14ac:dyDescent="0.25">
      <c r="A144" s="9" t="str">
        <f>IF(D144="","",Overview!$B$1)</f>
        <v>ambr250</v>
      </c>
      <c r="B144" s="9">
        <v>143</v>
      </c>
      <c r="C144" s="14">
        <v>16</v>
      </c>
      <c r="D144" s="14" t="s">
        <v>93</v>
      </c>
      <c r="E144" s="14" t="s">
        <v>30</v>
      </c>
      <c r="F144" s="14" t="s">
        <v>34</v>
      </c>
    </row>
    <row r="145" spans="1:6" x14ac:dyDescent="0.25">
      <c r="A145" s="9" t="str">
        <f>IF(D145="","",Overview!$B$1)</f>
        <v>ambr250</v>
      </c>
      <c r="B145" s="9">
        <v>144</v>
      </c>
      <c r="C145" s="14">
        <v>16</v>
      </c>
      <c r="D145" s="14" t="s">
        <v>94</v>
      </c>
      <c r="E145" s="14" t="s">
        <v>30</v>
      </c>
      <c r="F145" s="14" t="s">
        <v>34</v>
      </c>
    </row>
    <row r="146" spans="1:6" x14ac:dyDescent="0.25">
      <c r="A146" s="9" t="str">
        <f>IF(D146="","",Overview!$B$1)</f>
        <v>ambr250</v>
      </c>
      <c r="B146" s="9">
        <v>145</v>
      </c>
      <c r="C146" s="14">
        <v>16</v>
      </c>
      <c r="D146" s="14" t="s">
        <v>95</v>
      </c>
      <c r="E146" s="14" t="s">
        <v>26</v>
      </c>
      <c r="F146" s="14" t="s">
        <v>24</v>
      </c>
    </row>
    <row r="147" spans="1:6" x14ac:dyDescent="0.25">
      <c r="A147" s="9" t="str">
        <f>IF(D147="","",Overview!$B$1)</f>
        <v>ambr250</v>
      </c>
      <c r="B147" s="9">
        <v>146</v>
      </c>
      <c r="C147" s="14">
        <v>16</v>
      </c>
      <c r="D147" s="14" t="s">
        <v>87</v>
      </c>
      <c r="E147" s="14" t="s">
        <v>30</v>
      </c>
      <c r="F147" s="14" t="s">
        <v>34</v>
      </c>
    </row>
    <row r="148" spans="1:6" x14ac:dyDescent="0.25">
      <c r="A148" s="9" t="str">
        <f>IF(D148="","",Overview!$B$1)</f>
        <v>ambr250</v>
      </c>
      <c r="B148" s="9">
        <v>147</v>
      </c>
      <c r="C148" s="14">
        <v>16</v>
      </c>
      <c r="D148" s="14" t="s">
        <v>82</v>
      </c>
      <c r="E148" s="14" t="s">
        <v>83</v>
      </c>
      <c r="F148" s="14" t="s">
        <v>29</v>
      </c>
    </row>
    <row r="149" spans="1:6" x14ac:dyDescent="0.25">
      <c r="A149" s="9" t="str">
        <f>IF(D149="","",Overview!$B$1)</f>
        <v>ambr250</v>
      </c>
      <c r="B149" s="9">
        <v>148</v>
      </c>
      <c r="C149" s="14">
        <v>16</v>
      </c>
      <c r="D149" s="14" t="s">
        <v>84</v>
      </c>
      <c r="E149" s="14" t="s">
        <v>33</v>
      </c>
      <c r="F149" s="14" t="s">
        <v>29</v>
      </c>
    </row>
    <row r="150" spans="1:6" x14ac:dyDescent="0.25">
      <c r="A150" s="9" t="str">
        <f>IF(D150="","",Overview!$B$1)</f>
        <v>ambr250</v>
      </c>
      <c r="B150" s="9">
        <v>149</v>
      </c>
      <c r="C150" s="14">
        <v>16</v>
      </c>
      <c r="D150" s="14" t="s">
        <v>89</v>
      </c>
      <c r="E150" s="14" t="s">
        <v>28</v>
      </c>
      <c r="F150" s="14" t="s">
        <v>24</v>
      </c>
    </row>
    <row r="151" spans="1:6" x14ac:dyDescent="0.25">
      <c r="A151" s="9" t="str">
        <f>IF(D151="","",Overview!$B$1)</f>
        <v>ambr250</v>
      </c>
      <c r="B151" s="9">
        <v>150</v>
      </c>
      <c r="C151" s="14">
        <v>16</v>
      </c>
      <c r="D151" s="14" t="s">
        <v>77</v>
      </c>
      <c r="E151" s="14" t="s">
        <v>28</v>
      </c>
      <c r="F151" s="14" t="s">
        <v>29</v>
      </c>
    </row>
    <row r="152" spans="1:6" x14ac:dyDescent="0.25">
      <c r="A152" s="9" t="str">
        <f>IF(D152="","",Overview!$B$1)</f>
        <v>ambr250</v>
      </c>
      <c r="B152" s="9">
        <v>151</v>
      </c>
      <c r="C152" s="14">
        <v>17</v>
      </c>
      <c r="D152" s="14" t="s">
        <v>96</v>
      </c>
      <c r="E152" s="14" t="s">
        <v>35</v>
      </c>
      <c r="F152" s="14" t="s">
        <v>34</v>
      </c>
    </row>
    <row r="153" spans="1:6" x14ac:dyDescent="0.25">
      <c r="A153" s="9" t="str">
        <f>IF(D153="","",Overview!$B$1)</f>
        <v>ambr250</v>
      </c>
      <c r="B153" s="9">
        <v>152</v>
      </c>
      <c r="C153" s="14">
        <v>18</v>
      </c>
      <c r="D153" s="14" t="s">
        <v>97</v>
      </c>
      <c r="E153" s="14" t="s">
        <v>36</v>
      </c>
      <c r="F153" s="14" t="s">
        <v>34</v>
      </c>
    </row>
    <row r="154" spans="1:6" x14ac:dyDescent="0.25">
      <c r="A154" s="9" t="str">
        <f>IF(D154="","",Overview!$B$1)</f>
        <v>ambr250</v>
      </c>
      <c r="B154" s="9">
        <v>153</v>
      </c>
      <c r="C154" s="14">
        <v>19</v>
      </c>
      <c r="D154" s="14" t="s">
        <v>98</v>
      </c>
      <c r="E154" s="14" t="s">
        <v>30</v>
      </c>
      <c r="F154" s="14" t="s">
        <v>34</v>
      </c>
    </row>
    <row r="155" spans="1:6" x14ac:dyDescent="0.25">
      <c r="A155" s="9" t="str">
        <f>IF(D155="","",Overview!$B$1)</f>
        <v/>
      </c>
      <c r="B155" s="9">
        <v>154</v>
      </c>
      <c r="C155" s="14"/>
      <c r="D155" s="14"/>
      <c r="E155" s="14"/>
      <c r="F155" s="14"/>
    </row>
    <row r="156" spans="1:6" x14ac:dyDescent="0.25">
      <c r="A156" s="9" t="str">
        <f>IF(D156="","",Overview!$B$1)</f>
        <v/>
      </c>
      <c r="B156" s="9">
        <v>155</v>
      </c>
      <c r="C156" s="14"/>
      <c r="D156" s="14"/>
      <c r="E156" s="14"/>
      <c r="F156" s="14"/>
    </row>
    <row r="157" spans="1:6" x14ac:dyDescent="0.25">
      <c r="A157" s="9" t="str">
        <f>IF(D157="","",Overview!$B$1)</f>
        <v/>
      </c>
      <c r="B157" s="9">
        <v>156</v>
      </c>
      <c r="C157" s="14"/>
      <c r="D157" s="14"/>
      <c r="E157" s="14"/>
      <c r="F157" s="14"/>
    </row>
    <row r="158" spans="1:6" x14ac:dyDescent="0.25">
      <c r="A158" s="9" t="str">
        <f>IF(D158="","",Overview!$B$1)</f>
        <v/>
      </c>
      <c r="B158" s="9">
        <v>157</v>
      </c>
      <c r="C158" s="14"/>
      <c r="D158" s="14"/>
      <c r="E158" s="14"/>
      <c r="F158" s="14"/>
    </row>
    <row r="159" spans="1:6" x14ac:dyDescent="0.25">
      <c r="A159" s="9" t="str">
        <f>IF(D159="","",Overview!$B$1)</f>
        <v/>
      </c>
      <c r="B159" s="9">
        <v>158</v>
      </c>
      <c r="C159" s="14"/>
      <c r="D159" s="14"/>
      <c r="E159" s="14"/>
      <c r="F159" s="14"/>
    </row>
    <row r="160" spans="1:6" x14ac:dyDescent="0.25">
      <c r="A160" s="9" t="str">
        <f>IF(D160="","",Overview!$B$1)</f>
        <v/>
      </c>
      <c r="B160" s="9">
        <v>159</v>
      </c>
      <c r="C160" s="14"/>
      <c r="D160" s="14"/>
      <c r="E160" s="14"/>
      <c r="F160" s="14"/>
    </row>
    <row r="161" spans="1:6" x14ac:dyDescent="0.25">
      <c r="A161" s="9" t="str">
        <f>IF(D161="","",Overview!$B$1)</f>
        <v/>
      </c>
      <c r="B161" s="9">
        <v>160</v>
      </c>
      <c r="C161" s="14"/>
      <c r="D161" s="14"/>
      <c r="E161" s="14"/>
      <c r="F161" s="14"/>
    </row>
    <row r="162" spans="1:6" x14ac:dyDescent="0.25">
      <c r="A162" s="9" t="str">
        <f>IF(D162="","",Overview!$B$1)</f>
        <v/>
      </c>
      <c r="B162" s="9">
        <v>161</v>
      </c>
      <c r="C162" s="14"/>
      <c r="D162" s="14"/>
      <c r="E162" s="14"/>
      <c r="F162" s="14"/>
    </row>
    <row r="163" spans="1:6" x14ac:dyDescent="0.25">
      <c r="A163" s="9" t="str">
        <f>IF(D163="","",Overview!$B$1)</f>
        <v/>
      </c>
      <c r="B163" s="9">
        <v>162</v>
      </c>
      <c r="C163" s="14"/>
      <c r="D163" s="14"/>
      <c r="E163" s="14"/>
      <c r="F163" s="14"/>
    </row>
    <row r="164" spans="1:6" x14ac:dyDescent="0.25">
      <c r="A164" s="9" t="str">
        <f>IF(D164="","",Overview!$B$1)</f>
        <v/>
      </c>
      <c r="B164" s="9">
        <v>163</v>
      </c>
      <c r="C164" s="14"/>
      <c r="D164" s="14"/>
      <c r="E164" s="14"/>
      <c r="F164" s="14"/>
    </row>
    <row r="165" spans="1:6" x14ac:dyDescent="0.25">
      <c r="A165" s="9" t="str">
        <f>IF(D165="","",Overview!$B$1)</f>
        <v/>
      </c>
      <c r="B165" s="9">
        <v>164</v>
      </c>
      <c r="C165" s="14"/>
      <c r="D165" s="14"/>
      <c r="E165" s="14"/>
      <c r="F165" s="14"/>
    </row>
    <row r="166" spans="1:6" x14ac:dyDescent="0.25">
      <c r="A166" s="9" t="str">
        <f>IF(D166="","",Overview!$B$1)</f>
        <v/>
      </c>
      <c r="B166" s="9">
        <v>165</v>
      </c>
      <c r="C166" s="14"/>
      <c r="D166" s="14"/>
      <c r="E166" s="14"/>
      <c r="F166" s="14"/>
    </row>
    <row r="167" spans="1:6" x14ac:dyDescent="0.25">
      <c r="A167" s="9" t="str">
        <f>IF(D167="","",Overview!$B$1)</f>
        <v/>
      </c>
      <c r="B167" s="9">
        <v>166</v>
      </c>
      <c r="C167" s="14"/>
      <c r="D167" s="14"/>
      <c r="E167" s="14"/>
      <c r="F167" s="14"/>
    </row>
    <row r="168" spans="1:6" x14ac:dyDescent="0.25">
      <c r="A168" s="9" t="str">
        <f>IF(D168="","",Overview!$B$1)</f>
        <v/>
      </c>
      <c r="B168" s="9">
        <v>167</v>
      </c>
      <c r="C168" s="14"/>
      <c r="D168" s="14"/>
      <c r="E168" s="14"/>
      <c r="F168" s="14"/>
    </row>
    <row r="169" spans="1:6" x14ac:dyDescent="0.25">
      <c r="A169" s="9" t="str">
        <f>IF(D169="","",Overview!$B$1)</f>
        <v/>
      </c>
      <c r="B169" s="9">
        <v>168</v>
      </c>
      <c r="C169" s="14"/>
      <c r="D169" s="14"/>
      <c r="E169" s="14"/>
      <c r="F169" s="14"/>
    </row>
    <row r="170" spans="1:6" x14ac:dyDescent="0.25">
      <c r="A170" s="9" t="str">
        <f>IF(D170="","",Overview!$B$1)</f>
        <v/>
      </c>
      <c r="B170" s="9">
        <v>169</v>
      </c>
      <c r="C170" s="14"/>
      <c r="D170" s="14"/>
      <c r="E170" s="14"/>
      <c r="F170" s="14"/>
    </row>
    <row r="171" spans="1:6" x14ac:dyDescent="0.25">
      <c r="A171" s="9" t="str">
        <f>IF(D171="","",Overview!$B$1)</f>
        <v/>
      </c>
      <c r="B171" s="9">
        <v>170</v>
      </c>
      <c r="C171" s="14"/>
      <c r="D171" s="14"/>
      <c r="E171" s="14"/>
      <c r="F171" s="14"/>
    </row>
    <row r="172" spans="1:6" x14ac:dyDescent="0.25">
      <c r="A172" s="9" t="str">
        <f>IF(D172="","",Overview!$B$1)</f>
        <v/>
      </c>
      <c r="B172" s="9">
        <v>171</v>
      </c>
      <c r="C172" s="14"/>
      <c r="D172" s="14"/>
      <c r="E172" s="14"/>
      <c r="F172" s="14"/>
    </row>
    <row r="173" spans="1:6" x14ac:dyDescent="0.25">
      <c r="A173" s="9" t="str">
        <f>IF(D173="","",Overview!$B$1)</f>
        <v/>
      </c>
      <c r="B173" s="9">
        <v>172</v>
      </c>
      <c r="C173" s="14"/>
      <c r="D173" s="14"/>
      <c r="E173" s="14"/>
      <c r="F173" s="14"/>
    </row>
    <row r="174" spans="1:6" x14ac:dyDescent="0.25">
      <c r="A174" s="9" t="str">
        <f>IF(D174="","",Overview!$B$1)</f>
        <v/>
      </c>
      <c r="B174" s="9">
        <v>173</v>
      </c>
      <c r="C174" s="14"/>
      <c r="D174" s="14"/>
      <c r="E174" s="14"/>
      <c r="F174" s="14"/>
    </row>
    <row r="175" spans="1:6" x14ac:dyDescent="0.25">
      <c r="A175" s="9" t="str">
        <f>IF(D175="","",Overview!$B$1)</f>
        <v/>
      </c>
      <c r="B175" s="9">
        <v>174</v>
      </c>
      <c r="C175" s="14"/>
      <c r="D175" s="14"/>
      <c r="E175" s="14"/>
      <c r="F175" s="14"/>
    </row>
    <row r="176" spans="1:6" x14ac:dyDescent="0.25">
      <c r="A176" s="9" t="str">
        <f>IF(D176="","",Overview!$B$1)</f>
        <v/>
      </c>
      <c r="B176" s="9">
        <v>175</v>
      </c>
      <c r="C176" s="14"/>
      <c r="D176" s="14"/>
      <c r="E176" s="14"/>
      <c r="F176" s="14"/>
    </row>
    <row r="177" spans="1:6" x14ac:dyDescent="0.25">
      <c r="A177" s="9" t="str">
        <f>IF(D177="","",Overview!$B$1)</f>
        <v/>
      </c>
      <c r="B177" s="9">
        <v>176</v>
      </c>
      <c r="C177" s="14"/>
      <c r="D177" s="14"/>
      <c r="E177" s="14"/>
      <c r="F177" s="14"/>
    </row>
    <row r="178" spans="1:6" x14ac:dyDescent="0.25">
      <c r="A178" s="9" t="str">
        <f>IF(D178="","",Overview!$B$1)</f>
        <v/>
      </c>
      <c r="B178" s="9">
        <v>177</v>
      </c>
      <c r="C178" s="14"/>
      <c r="D178" s="14"/>
      <c r="E178" s="14"/>
      <c r="F178" s="14"/>
    </row>
    <row r="179" spans="1:6" x14ac:dyDescent="0.25">
      <c r="A179" s="9" t="str">
        <f>IF(D179="","",Overview!$B$1)</f>
        <v/>
      </c>
      <c r="B179" s="9">
        <v>178</v>
      </c>
      <c r="C179" s="14"/>
      <c r="D179" s="14"/>
      <c r="E179" s="14"/>
      <c r="F179" s="14"/>
    </row>
    <row r="180" spans="1:6" x14ac:dyDescent="0.25">
      <c r="A180" s="9" t="str">
        <f>IF(D180="","",Overview!$B$1)</f>
        <v/>
      </c>
      <c r="B180" s="9">
        <v>179</v>
      </c>
      <c r="C180" s="14"/>
      <c r="D180" s="14"/>
      <c r="E180" s="14"/>
      <c r="F180" s="14"/>
    </row>
    <row r="181" spans="1:6" x14ac:dyDescent="0.25">
      <c r="A181" s="9" t="str">
        <f>IF(D181="","",Overview!$B$1)</f>
        <v/>
      </c>
      <c r="B181" s="9">
        <v>180</v>
      </c>
      <c r="C181" s="14"/>
      <c r="D181" s="14"/>
      <c r="E181" s="14"/>
      <c r="F181" s="14"/>
    </row>
    <row r="182" spans="1:6" x14ac:dyDescent="0.25">
      <c r="A182" s="9" t="str">
        <f>IF(D182="","",Overview!$B$1)</f>
        <v/>
      </c>
      <c r="B182" s="9">
        <v>181</v>
      </c>
      <c r="C182" s="14"/>
      <c r="D182" s="14"/>
      <c r="E182" s="14"/>
      <c r="F182" s="14"/>
    </row>
    <row r="183" spans="1:6" x14ac:dyDescent="0.25">
      <c r="A183" s="9" t="str">
        <f>IF(D183="","",Overview!$B$1)</f>
        <v/>
      </c>
      <c r="B183" s="9">
        <v>182</v>
      </c>
      <c r="C183" s="14"/>
      <c r="D183" s="14"/>
      <c r="E183" s="14"/>
      <c r="F183" s="14"/>
    </row>
    <row r="184" spans="1:6" x14ac:dyDescent="0.25">
      <c r="A184" s="9" t="str">
        <f>IF(D184="","",Overview!$B$1)</f>
        <v/>
      </c>
      <c r="B184" s="9">
        <v>183</v>
      </c>
      <c r="C184" s="14"/>
      <c r="D184" s="14"/>
      <c r="E184" s="14"/>
      <c r="F184" s="14"/>
    </row>
    <row r="185" spans="1:6" x14ac:dyDescent="0.25">
      <c r="A185" s="9" t="str">
        <f>IF(D185="","",Overview!$B$1)</f>
        <v/>
      </c>
      <c r="B185" s="9">
        <v>184</v>
      </c>
      <c r="C185" s="14"/>
      <c r="D185" s="14"/>
      <c r="E185" s="14"/>
      <c r="F185" s="14"/>
    </row>
    <row r="186" spans="1:6" x14ac:dyDescent="0.25">
      <c r="A186" s="9" t="str">
        <f>IF(D186="","",Overview!$B$1)</f>
        <v/>
      </c>
      <c r="B186" s="9">
        <v>185</v>
      </c>
      <c r="C186" s="14"/>
      <c r="D186" s="14"/>
      <c r="E186" s="14"/>
      <c r="F186" s="14"/>
    </row>
    <row r="187" spans="1:6" x14ac:dyDescent="0.25">
      <c r="A187" s="9" t="str">
        <f>IF(D187="","",Overview!$B$1)</f>
        <v/>
      </c>
      <c r="B187" s="9">
        <v>186</v>
      </c>
      <c r="C187" s="14"/>
      <c r="D187" s="14"/>
      <c r="E187" s="14"/>
      <c r="F187" s="14"/>
    </row>
    <row r="188" spans="1:6" x14ac:dyDescent="0.25">
      <c r="A188" s="9" t="str">
        <f>IF(D188="","",Overview!$B$1)</f>
        <v/>
      </c>
      <c r="B188" s="9">
        <v>187</v>
      </c>
      <c r="C188" s="14"/>
      <c r="D188" s="14"/>
      <c r="E188" s="14"/>
      <c r="F188" s="14"/>
    </row>
    <row r="189" spans="1:6" x14ac:dyDescent="0.25">
      <c r="A189" s="9" t="str">
        <f>IF(D189="","",Overview!$B$1)</f>
        <v/>
      </c>
      <c r="B189" s="9">
        <v>188</v>
      </c>
      <c r="C189" s="14"/>
      <c r="D189" s="14"/>
      <c r="E189" s="14"/>
      <c r="F189" s="14"/>
    </row>
    <row r="190" spans="1:6" x14ac:dyDescent="0.25">
      <c r="A190" s="9" t="str">
        <f>IF(D190="","",Overview!$B$1)</f>
        <v/>
      </c>
      <c r="B190" s="9">
        <v>189</v>
      </c>
      <c r="C190" s="14"/>
      <c r="D190" s="14"/>
      <c r="E190" s="14"/>
      <c r="F190" s="14"/>
    </row>
    <row r="191" spans="1:6" x14ac:dyDescent="0.25">
      <c r="A191" s="9" t="str">
        <f>IF(D191="","",Overview!$B$1)</f>
        <v/>
      </c>
      <c r="B191" s="9">
        <v>190</v>
      </c>
      <c r="C191" s="14"/>
      <c r="D191" s="14"/>
      <c r="E191" s="14"/>
      <c r="F191" s="14"/>
    </row>
    <row r="192" spans="1:6" x14ac:dyDescent="0.25">
      <c r="A192" s="9" t="str">
        <f>IF(D192="","",Overview!$B$1)</f>
        <v/>
      </c>
      <c r="B192" s="9">
        <v>191</v>
      </c>
      <c r="C192" s="14"/>
      <c r="D192" s="14"/>
      <c r="E192" s="14"/>
      <c r="F192" s="14"/>
    </row>
    <row r="193" spans="1:6" x14ac:dyDescent="0.25">
      <c r="A193" s="9" t="str">
        <f>IF(D193="","",Overview!$B$1)</f>
        <v/>
      </c>
      <c r="B193" s="9">
        <v>192</v>
      </c>
      <c r="C193" s="14"/>
      <c r="D193" s="14"/>
      <c r="E193" s="14"/>
      <c r="F193" s="14"/>
    </row>
    <row r="194" spans="1:6" x14ac:dyDescent="0.25">
      <c r="A194" s="9" t="str">
        <f>IF(D194="","",Overview!$B$1)</f>
        <v/>
      </c>
      <c r="B194" s="9">
        <v>193</v>
      </c>
      <c r="C194" s="14"/>
      <c r="D194" s="14"/>
      <c r="E194" s="14"/>
      <c r="F194" s="14"/>
    </row>
    <row r="195" spans="1:6" x14ac:dyDescent="0.25">
      <c r="A195" s="9" t="str">
        <f>IF(D195="","",Overview!$B$1)</f>
        <v/>
      </c>
      <c r="B195" s="9">
        <v>194</v>
      </c>
      <c r="C195" s="14"/>
      <c r="D195" s="14"/>
      <c r="E195" s="14"/>
      <c r="F195" s="14"/>
    </row>
    <row r="196" spans="1:6" x14ac:dyDescent="0.25">
      <c r="A196" s="9" t="str">
        <f>IF(D196="","",Overview!$B$1)</f>
        <v/>
      </c>
      <c r="B196" s="9">
        <v>195</v>
      </c>
      <c r="C196" s="14"/>
      <c r="D196" s="14"/>
      <c r="E196" s="14"/>
      <c r="F196" s="14"/>
    </row>
    <row r="197" spans="1:6" x14ac:dyDescent="0.25">
      <c r="A197" s="9" t="str">
        <f>IF(D197="","",Overview!$B$1)</f>
        <v/>
      </c>
      <c r="B197" s="9">
        <v>196</v>
      </c>
      <c r="C197" s="14"/>
      <c r="D197" s="14"/>
      <c r="E197" s="14"/>
      <c r="F197" s="14"/>
    </row>
    <row r="198" spans="1:6" x14ac:dyDescent="0.25">
      <c r="A198" s="9" t="str">
        <f>IF(D198="","",Overview!$B$1)</f>
        <v/>
      </c>
      <c r="B198" s="9">
        <v>197</v>
      </c>
      <c r="C198" s="14"/>
      <c r="D198" s="14"/>
      <c r="E198" s="14"/>
      <c r="F198" s="14"/>
    </row>
    <row r="199" spans="1:6" x14ac:dyDescent="0.25">
      <c r="A199" s="9" t="str">
        <f>IF(D199="","",Overview!$B$1)</f>
        <v/>
      </c>
      <c r="B199" s="9">
        <v>198</v>
      </c>
      <c r="C199" s="14"/>
      <c r="D199" s="14"/>
      <c r="E199" s="14"/>
      <c r="F199" s="14"/>
    </row>
    <row r="200" spans="1:6" x14ac:dyDescent="0.25">
      <c r="A200" s="9" t="str">
        <f>IF(D200="","",Overview!$B$1)</f>
        <v/>
      </c>
      <c r="B200" s="9">
        <v>199</v>
      </c>
      <c r="C200" s="14"/>
      <c r="D200" s="14"/>
      <c r="E200" s="14"/>
      <c r="F200" s="14"/>
    </row>
  </sheetData>
  <sheetProtection selectLockedCells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4">
              <controlPr defaultSize="0" print="0" autoFill="0" autoPict="0">
                <anchor mov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1790700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6">
              <controlPr defaultSize="0" print="0" autoFill="0" autoPict="0">
                <anchor moveWithCells="1">
                  <from>
                    <xdr:col>7</xdr:col>
                    <xdr:colOff>28575</xdr:colOff>
                    <xdr:row>0</xdr:row>
                    <xdr:rowOff>19050</xdr:rowOff>
                  </from>
                  <to>
                    <xdr:col>7</xdr:col>
                    <xdr:colOff>1781175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F552C0-56A1-484E-881D-94A7C8B7795C}">
          <x14:formula1>
            <xm:f>Definition!$D$2:$D$5</xm:f>
          </x14:formula1>
          <xm:sqref>F2:F154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441F-1F26-466C-9704-57579BB02C4E}">
  <sheetPr codeName="Sheet7">
    <tabColor rgb="FF00B050"/>
  </sheetPr>
  <dimension ref="A1:Z65"/>
  <sheetViews>
    <sheetView tabSelected="1" zoomScale="85" zoomScaleNormal="85" workbookViewId="0">
      <selection activeCell="G12" sqref="G12"/>
    </sheetView>
  </sheetViews>
  <sheetFormatPr defaultColWidth="9.140625" defaultRowHeight="15" outlineLevelCol="1" x14ac:dyDescent="0.25"/>
  <cols>
    <col min="1" max="1" width="12.5703125" bestFit="1" customWidth="1"/>
    <col min="2" max="2" width="21.7109375" bestFit="1" customWidth="1"/>
    <col min="3" max="3" width="13.42578125" style="4" bestFit="1" customWidth="1"/>
    <col min="4" max="4" width="33.5703125" style="13" bestFit="1" customWidth="1"/>
    <col min="5" max="5" width="27.7109375" style="13" bestFit="1" customWidth="1"/>
    <col min="6" max="6" width="20" style="13" customWidth="1"/>
    <col min="7" max="7" width="65.5703125" style="13" customWidth="1"/>
    <col min="8" max="8" width="18.28515625" style="13" customWidth="1"/>
    <col min="9" max="9" width="16" style="13" customWidth="1"/>
    <col min="10" max="10" width="18.42578125" style="13" customWidth="1"/>
    <col min="11" max="11" width="18" style="13" customWidth="1"/>
    <col min="12" max="12" width="19.140625" style="13" customWidth="1" outlineLevel="1"/>
    <col min="13" max="13" width="22.140625" style="13" customWidth="1" outlineLevel="1"/>
    <col min="14" max="16" width="16" style="4" customWidth="1" outlineLevel="1"/>
    <col min="17" max="17" width="12" style="13" bestFit="1" customWidth="1"/>
    <col min="18" max="18" width="18.5703125" style="13" bestFit="1" customWidth="1" outlineLevel="1"/>
    <col min="19" max="19" width="17.85546875" style="13" bestFit="1" customWidth="1" outlineLevel="1"/>
    <col min="20" max="20" width="17.28515625" style="13" bestFit="1" customWidth="1" outlineLevel="1"/>
    <col min="21" max="23" width="15.42578125" style="13" customWidth="1" outlineLevel="1"/>
    <col min="24" max="26" width="15.42578125" style="4" customWidth="1" outlineLevel="1"/>
    <col min="27" max="31" width="32.7109375" style="4" bestFit="1" customWidth="1"/>
    <col min="32" max="32" width="11.28515625" style="4" bestFit="1" customWidth="1"/>
    <col min="33" max="16384" width="9.140625" style="4"/>
  </cols>
  <sheetData>
    <row r="1" spans="1:26" s="2" customFormat="1" ht="45" x14ac:dyDescent="0.25">
      <c r="A1" s="1" t="s">
        <v>154</v>
      </c>
      <c r="B1" s="1" t="s">
        <v>155</v>
      </c>
      <c r="C1" s="1" t="s">
        <v>14</v>
      </c>
      <c r="D1" s="37" t="s">
        <v>19</v>
      </c>
      <c r="E1" s="37" t="s">
        <v>2</v>
      </c>
      <c r="F1" s="37" t="s">
        <v>3</v>
      </c>
      <c r="G1" s="39" t="s">
        <v>20</v>
      </c>
      <c r="H1" s="39" t="s">
        <v>143</v>
      </c>
      <c r="I1" s="39" t="s">
        <v>144</v>
      </c>
      <c r="J1" s="39" t="s">
        <v>145</v>
      </c>
      <c r="K1" s="39" t="s">
        <v>135</v>
      </c>
      <c r="L1" s="39" t="s">
        <v>21</v>
      </c>
      <c r="M1" s="39" t="s">
        <v>22</v>
      </c>
      <c r="N1" s="1" t="s">
        <v>146</v>
      </c>
      <c r="O1" s="1" t="s">
        <v>147</v>
      </c>
      <c r="P1" s="1" t="s">
        <v>148</v>
      </c>
      <c r="Q1" s="1" t="s">
        <v>131</v>
      </c>
      <c r="R1" s="39" t="s">
        <v>127</v>
      </c>
      <c r="S1" s="39" t="s">
        <v>128</v>
      </c>
      <c r="T1" s="39" t="s">
        <v>129</v>
      </c>
      <c r="U1" s="39" t="s">
        <v>149</v>
      </c>
      <c r="V1" s="39" t="s">
        <v>150</v>
      </c>
      <c r="W1" s="39" t="s">
        <v>151</v>
      </c>
      <c r="X1" s="1" t="s">
        <v>142</v>
      </c>
      <c r="Y1" s="1" t="s">
        <v>140</v>
      </c>
      <c r="Z1" s="1" t="s">
        <v>141</v>
      </c>
    </row>
    <row r="2" spans="1:26" x14ac:dyDescent="0.25">
      <c r="A2" s="9" t="s">
        <v>156</v>
      </c>
      <c r="B2" s="9" t="s">
        <v>157</v>
      </c>
      <c r="C2" s="9" t="str">
        <f>IF(D2="","",Overview!$B$1)</f>
        <v>ambr250</v>
      </c>
      <c r="D2" s="38" t="s">
        <v>77</v>
      </c>
      <c r="E2" s="38" t="s">
        <v>28</v>
      </c>
      <c r="F2" s="38" t="s">
        <v>29</v>
      </c>
      <c r="G2" s="10" t="s">
        <v>158</v>
      </c>
      <c r="H2" s="10" t="s">
        <v>24</v>
      </c>
      <c r="I2" s="10" t="s">
        <v>40</v>
      </c>
      <c r="J2" s="10" t="s">
        <v>40</v>
      </c>
      <c r="K2" s="10" t="s">
        <v>137</v>
      </c>
      <c r="L2" s="11" t="s">
        <v>138</v>
      </c>
      <c r="M2" s="36" t="s">
        <v>188</v>
      </c>
      <c r="N2" s="8" cm="1">
        <f t="array" ref="N2">IF(H2="","",_xlfn.IFS(H2="not used",1,H2="manual",4,H2="semi-automated",7,H2="automated",10))</f>
        <v>4</v>
      </c>
      <c r="O2" s="8" cm="1">
        <f t="array" ref="O2">IF(I2="","",_xlfn.IFS(I2="easy",1,I2="acceptable",4,I2="difficult",7,I2="very difficult",10))</f>
        <v>4</v>
      </c>
      <c r="P2" s="8" cm="1">
        <f t="array" ref="P2">IF(J2="","",_xlfn.IFS(J2="poor",1,J2="acceptable",4,J2="good",7,J2="excellent",10))</f>
        <v>4</v>
      </c>
      <c r="Q2" s="36" t="s">
        <v>133</v>
      </c>
      <c r="R2" s="40" t="s">
        <v>46</v>
      </c>
      <c r="S2" s="40" t="s">
        <v>37</v>
      </c>
      <c r="T2" s="40" t="s">
        <v>38</v>
      </c>
      <c r="U2" s="8" cm="1">
        <f t="array" ref="U2">IF(R2="","",_xlfn.IFS(R2="not used",1,R2="manual",4,R2="semi-automated",7,R2="automated",10))</f>
        <v>7</v>
      </c>
      <c r="V2" s="8" cm="1">
        <f t="array" ref="V2">IF(S2="","",_xlfn.IFS(S2="easy",1,S2="acceptable",4,S2="difficult",7,S2="very difficult",10))</f>
        <v>1</v>
      </c>
      <c r="W2" s="8" cm="1">
        <f t="array" ref="W2">IF(T2="","",_xlfn.IFS(T2="poor",1,T2="acceptable",4,T2="good",7,T2="excellent",10))</f>
        <v>10</v>
      </c>
      <c r="X2" s="8">
        <f t="shared" ref="X2:X33" si="0">IF(U2="","",(U2-N2))</f>
        <v>3</v>
      </c>
      <c r="Y2" s="8">
        <f t="shared" ref="Y2:Y33" si="1">IF(V2="","",V2-O2)</f>
        <v>-3</v>
      </c>
      <c r="Z2" s="8">
        <f t="shared" ref="Z2:Z33" si="2">IF(W2="","",(W2-P2))</f>
        <v>6</v>
      </c>
    </row>
    <row r="3" spans="1:26" x14ac:dyDescent="0.25">
      <c r="A3" s="9" t="s">
        <v>156</v>
      </c>
      <c r="B3" s="9" t="s">
        <v>157</v>
      </c>
      <c r="C3" s="9" t="str">
        <f>IF(D3="","",Overview!$B$1)</f>
        <v>ambr250</v>
      </c>
      <c r="D3" s="38" t="s">
        <v>89</v>
      </c>
      <c r="E3" s="38" t="s">
        <v>28</v>
      </c>
      <c r="F3" s="38" t="s">
        <v>24</v>
      </c>
      <c r="G3" s="10" t="s">
        <v>159</v>
      </c>
      <c r="H3" s="10" t="s">
        <v>24</v>
      </c>
      <c r="I3" s="10" t="s">
        <v>37</v>
      </c>
      <c r="J3" s="10" t="s">
        <v>38</v>
      </c>
      <c r="K3" s="10" t="s">
        <v>136</v>
      </c>
      <c r="L3" s="11" t="s">
        <v>39</v>
      </c>
      <c r="M3" s="36" t="s">
        <v>24</v>
      </c>
      <c r="N3" s="8" cm="1">
        <f t="array" ref="N3">IF(H3="","",_xlfn.IFS(H3="not used",1,H3="manual",4,H3="semi-automated",7,H3="automated",10))</f>
        <v>4</v>
      </c>
      <c r="O3" s="8" cm="1">
        <f t="array" ref="O3">IF(I3="","",_xlfn.IFS(I3="easy",1,I3="acceptable",4,I3="difficult",7,I3="very difficult",10))</f>
        <v>1</v>
      </c>
      <c r="P3" s="8" cm="1">
        <f t="array" ref="P3">IF(J3="","",_xlfn.IFS(J3="poor",1,J3="acceptable",4,J3="good",7,J3="excellent",10))</f>
        <v>10</v>
      </c>
      <c r="Q3" s="36" t="s">
        <v>134</v>
      </c>
      <c r="R3" s="40" t="s">
        <v>24</v>
      </c>
      <c r="S3" s="40" t="s">
        <v>37</v>
      </c>
      <c r="T3" s="40" t="s">
        <v>38</v>
      </c>
      <c r="U3" s="8" cm="1">
        <f t="array" ref="U3">IF(R3="","",_xlfn.IFS(R3="not used",1,R3="manual",4,R3="semi-automated",7,R3="automated",10))</f>
        <v>4</v>
      </c>
      <c r="V3" s="8" cm="1">
        <f t="array" ref="V3">IF(S3="","",_xlfn.IFS(S3="easy",1,S3="acceptable",4,S3="difficult",7,S3="very difficult",10))</f>
        <v>1</v>
      </c>
      <c r="W3" s="8" cm="1">
        <f t="array" ref="W3">IF(T3="","",_xlfn.IFS(T3="poor",1,T3="acceptable",4,T3="good",7,T3="excellent",10))</f>
        <v>10</v>
      </c>
      <c r="X3" s="8">
        <f t="shared" si="0"/>
        <v>0</v>
      </c>
      <c r="Y3" s="8">
        <f t="shared" si="1"/>
        <v>0</v>
      </c>
      <c r="Z3" s="8">
        <f t="shared" si="2"/>
        <v>0</v>
      </c>
    </row>
    <row r="4" spans="1:26" x14ac:dyDescent="0.25">
      <c r="A4" s="9" t="s">
        <v>156</v>
      </c>
      <c r="B4" s="9" t="s">
        <v>157</v>
      </c>
      <c r="C4" s="9" t="str">
        <f>IF(D4="","",Overview!$B$1)</f>
        <v>ambr250</v>
      </c>
      <c r="D4" s="38" t="s">
        <v>76</v>
      </c>
      <c r="E4" s="38" t="s">
        <v>65</v>
      </c>
      <c r="F4" s="38" t="s">
        <v>24</v>
      </c>
      <c r="G4" s="10" t="s">
        <v>160</v>
      </c>
      <c r="H4" s="10" t="s">
        <v>42</v>
      </c>
      <c r="I4" s="10" t="s">
        <v>37</v>
      </c>
      <c r="J4" s="10" t="s">
        <v>38</v>
      </c>
      <c r="K4" s="10" t="s">
        <v>137</v>
      </c>
      <c r="L4" s="11" t="s">
        <v>39</v>
      </c>
      <c r="M4" s="36" t="s">
        <v>209</v>
      </c>
      <c r="N4" s="8" cm="1">
        <f t="array" ref="N4">IF(H4="","",_xlfn.IFS(H4="not used",1,H4="manual",4,H4="semi-automated",7,H4="automated",10))</f>
        <v>1</v>
      </c>
      <c r="O4" s="8" cm="1">
        <f t="array" ref="O4">IF(I4="","",_xlfn.IFS(I4="easy",1,I4="acceptable",4,I4="difficult",7,I4="very difficult",10))</f>
        <v>1</v>
      </c>
      <c r="P4" s="8" cm="1">
        <f t="array" ref="P4">IF(J4="","",_xlfn.IFS(J4="poor",1,J4="acceptable",4,J4="good",7,J4="excellent",10))</f>
        <v>10</v>
      </c>
      <c r="Q4" s="36" t="s">
        <v>134</v>
      </c>
      <c r="R4" s="40" t="s">
        <v>58</v>
      </c>
      <c r="S4" s="40" t="s">
        <v>37</v>
      </c>
      <c r="T4" s="40" t="s">
        <v>38</v>
      </c>
      <c r="U4" s="8" cm="1">
        <f t="array" ref="U4">IF(R4="","",_xlfn.IFS(R4="not used",1,R4="manual",4,R4="semi-automated",7,R4="automated",10))</f>
        <v>10</v>
      </c>
      <c r="V4" s="8" cm="1">
        <f t="array" ref="V4">IF(S4="","",_xlfn.IFS(S4="easy",1,S4="acceptable",4,S4="difficult",7,S4="very difficult",10))</f>
        <v>1</v>
      </c>
      <c r="W4" s="8" cm="1">
        <f t="array" ref="W4">IF(T4="","",_xlfn.IFS(T4="poor",1,T4="acceptable",4,T4="good",7,T4="excellent",10))</f>
        <v>10</v>
      </c>
      <c r="X4" s="8">
        <f t="shared" si="0"/>
        <v>9</v>
      </c>
      <c r="Y4" s="8">
        <f t="shared" si="1"/>
        <v>0</v>
      </c>
      <c r="Z4" s="8">
        <f t="shared" si="2"/>
        <v>0</v>
      </c>
    </row>
    <row r="5" spans="1:26" x14ac:dyDescent="0.25">
      <c r="A5" s="9" t="s">
        <v>156</v>
      </c>
      <c r="B5" s="9" t="s">
        <v>157</v>
      </c>
      <c r="C5" s="9" t="str">
        <f>IF(D5="","",Overview!$B$1)</f>
        <v>ambr250</v>
      </c>
      <c r="D5" s="38" t="s">
        <v>86</v>
      </c>
      <c r="E5" s="38" t="s">
        <v>65</v>
      </c>
      <c r="F5" s="38" t="s">
        <v>29</v>
      </c>
      <c r="G5" s="10" t="s">
        <v>205</v>
      </c>
      <c r="H5" s="10" t="s">
        <v>42</v>
      </c>
      <c r="I5" s="10" t="s">
        <v>43</v>
      </c>
      <c r="J5" s="10" t="s">
        <v>38</v>
      </c>
      <c r="K5" s="10" t="s">
        <v>137</v>
      </c>
      <c r="L5" s="11" t="s">
        <v>39</v>
      </c>
      <c r="M5" s="36" t="s">
        <v>24</v>
      </c>
      <c r="N5" s="8" cm="1">
        <f t="array" ref="N5">IF(H5="","",_xlfn.IFS(H5="not used",1,H5="manual",4,H5="semi-automated",7,H5="automated",10))</f>
        <v>1</v>
      </c>
      <c r="O5" s="8" cm="1">
        <f t="array" ref="O5">IF(I5="","",_xlfn.IFS(I5="easy",1,I5="acceptable",4,I5="difficult",7,I5="very difficult",10))</f>
        <v>10</v>
      </c>
      <c r="P5" s="8" cm="1">
        <f t="array" ref="P5">IF(J5="","",_xlfn.IFS(J5="poor",1,J5="acceptable",4,J5="good",7,J5="excellent",10))</f>
        <v>10</v>
      </c>
      <c r="Q5" s="36" t="s">
        <v>134</v>
      </c>
      <c r="R5" s="40" t="s">
        <v>58</v>
      </c>
      <c r="S5" s="40" t="s">
        <v>37</v>
      </c>
      <c r="T5" s="40" t="s">
        <v>38</v>
      </c>
      <c r="U5" s="8" cm="1">
        <f t="array" ref="U5">IF(R5="","",_xlfn.IFS(R5="not used",1,R5="manual",4,R5="semi-automated",7,R5="automated",10))</f>
        <v>10</v>
      </c>
      <c r="V5" s="8" cm="1">
        <f t="array" ref="V5">IF(S5="","",_xlfn.IFS(S5="easy",1,S5="acceptable",4,S5="difficult",7,S5="very difficult",10))</f>
        <v>1</v>
      </c>
      <c r="W5" s="8" cm="1">
        <f t="array" ref="W5">IF(T5="","",_xlfn.IFS(T5="poor",1,T5="acceptable",4,T5="good",7,T5="excellent",10))</f>
        <v>10</v>
      </c>
      <c r="X5" s="8">
        <f t="shared" si="0"/>
        <v>9</v>
      </c>
      <c r="Y5" s="8">
        <f t="shared" si="1"/>
        <v>-9</v>
      </c>
      <c r="Z5" s="8">
        <f t="shared" si="2"/>
        <v>0</v>
      </c>
    </row>
    <row r="6" spans="1:26" x14ac:dyDescent="0.25">
      <c r="A6" s="9" t="s">
        <v>156</v>
      </c>
      <c r="B6" s="9" t="s">
        <v>157</v>
      </c>
      <c r="C6" s="9" t="str">
        <f>IF(D6="","",Overview!$B$1)</f>
        <v>ambr250</v>
      </c>
      <c r="D6" s="38" t="s">
        <v>90</v>
      </c>
      <c r="E6" s="38" t="s">
        <v>65</v>
      </c>
      <c r="F6" s="38" t="s">
        <v>29</v>
      </c>
      <c r="G6" s="10" t="s">
        <v>207</v>
      </c>
      <c r="H6" s="10" t="s">
        <v>42</v>
      </c>
      <c r="I6" s="10" t="s">
        <v>43</v>
      </c>
      <c r="J6" s="10" t="s">
        <v>38</v>
      </c>
      <c r="K6" s="10" t="s">
        <v>137</v>
      </c>
      <c r="L6" s="11" t="s">
        <v>138</v>
      </c>
      <c r="M6" s="36" t="s">
        <v>139</v>
      </c>
      <c r="N6" s="8" cm="1">
        <f t="array" ref="N6">IF(H6="","",_xlfn.IFS(H6="not used",1,H6="manual",4,H6="semi-automated",7,H6="automated",10))</f>
        <v>1</v>
      </c>
      <c r="O6" s="8" cm="1">
        <f t="array" ref="O6">IF(I6="","",_xlfn.IFS(I6="easy",1,I6="acceptable",4,I6="difficult",7,I6="very difficult",10))</f>
        <v>10</v>
      </c>
      <c r="P6" s="8" cm="1">
        <f t="array" ref="P6">IF(J6="","",_xlfn.IFS(J6="poor",1,J6="acceptable",4,J6="good",7,J6="excellent",10))</f>
        <v>10</v>
      </c>
      <c r="Q6" s="36" t="s">
        <v>133</v>
      </c>
      <c r="R6" s="40" t="s">
        <v>58</v>
      </c>
      <c r="S6" s="40" t="s">
        <v>37</v>
      </c>
      <c r="T6" s="40" t="s">
        <v>38</v>
      </c>
      <c r="U6" s="8" cm="1">
        <f t="array" ref="U6">IF(R6="","",_xlfn.IFS(R6="not used",1,R6="manual",4,R6="semi-automated",7,R6="automated",10))</f>
        <v>10</v>
      </c>
      <c r="V6" s="8" cm="1">
        <f t="array" ref="V6">IF(S6="","",_xlfn.IFS(S6="easy",1,S6="acceptable",4,S6="difficult",7,S6="very difficult",10))</f>
        <v>1</v>
      </c>
      <c r="W6" s="8" cm="1">
        <f t="array" ref="W6">IF(T6="","",_xlfn.IFS(T6="poor",1,T6="acceptable",4,T6="good",7,T6="excellent",10))</f>
        <v>10</v>
      </c>
      <c r="X6" s="8">
        <f t="shared" si="0"/>
        <v>9</v>
      </c>
      <c r="Y6" s="8">
        <f t="shared" si="1"/>
        <v>-9</v>
      </c>
      <c r="Z6" s="8">
        <f t="shared" si="2"/>
        <v>0</v>
      </c>
    </row>
    <row r="7" spans="1:26" x14ac:dyDescent="0.25">
      <c r="A7" s="9" t="s">
        <v>156</v>
      </c>
      <c r="B7" s="9" t="s">
        <v>157</v>
      </c>
      <c r="C7" s="9" t="str">
        <f>IF(D7="","",Overview!$B$1)</f>
        <v>ambr250</v>
      </c>
      <c r="D7" s="38" t="s">
        <v>91</v>
      </c>
      <c r="E7" s="38" t="s">
        <v>65</v>
      </c>
      <c r="F7" s="38" t="s">
        <v>29</v>
      </c>
      <c r="G7" s="10" t="s">
        <v>206</v>
      </c>
      <c r="H7" s="10" t="s">
        <v>42</v>
      </c>
      <c r="I7" s="10" t="s">
        <v>41</v>
      </c>
      <c r="J7" s="10" t="s">
        <v>38</v>
      </c>
      <c r="K7" s="10" t="s">
        <v>136</v>
      </c>
      <c r="L7" s="11" t="s">
        <v>39</v>
      </c>
      <c r="M7" s="36" t="s">
        <v>184</v>
      </c>
      <c r="N7" s="8" cm="1">
        <f t="array" ref="N7">IF(H7="","",_xlfn.IFS(H7="not used",1,H7="manual",4,H7="semi-automated",7,H7="automated",10))</f>
        <v>1</v>
      </c>
      <c r="O7" s="8" cm="1">
        <f t="array" ref="O7">IF(I7="","",_xlfn.IFS(I7="easy",1,I7="acceptable",4,I7="difficult",7,I7="very difficult",10))</f>
        <v>7</v>
      </c>
      <c r="P7" s="8" cm="1">
        <f t="array" ref="P7">IF(J7="","",_xlfn.IFS(J7="poor",1,J7="acceptable",4,J7="good",7,J7="excellent",10))</f>
        <v>10</v>
      </c>
      <c r="Q7" s="36" t="s">
        <v>134</v>
      </c>
      <c r="R7" s="40" t="s">
        <v>24</v>
      </c>
      <c r="S7" s="40" t="s">
        <v>37</v>
      </c>
      <c r="T7" s="40" t="s">
        <v>38</v>
      </c>
      <c r="U7" s="8" cm="1">
        <f t="array" ref="U7">IF(R7="","",_xlfn.IFS(R7="not used",1,R7="manual",4,R7="semi-automated",7,R7="automated",10))</f>
        <v>4</v>
      </c>
      <c r="V7" s="8" cm="1">
        <f t="array" ref="V7">IF(S7="","",_xlfn.IFS(S7="easy",1,S7="acceptable",4,S7="difficult",7,S7="very difficult",10))</f>
        <v>1</v>
      </c>
      <c r="W7" s="8" cm="1">
        <f t="array" ref="W7">IF(T7="","",_xlfn.IFS(T7="poor",1,T7="acceptable",4,T7="good",7,T7="excellent",10))</f>
        <v>10</v>
      </c>
      <c r="X7" s="8">
        <f t="shared" si="0"/>
        <v>3</v>
      </c>
      <c r="Y7" s="8">
        <f t="shared" si="1"/>
        <v>-6</v>
      </c>
      <c r="Z7" s="8">
        <f t="shared" si="2"/>
        <v>0</v>
      </c>
    </row>
    <row r="8" spans="1:26" x14ac:dyDescent="0.25">
      <c r="A8" s="9" t="s">
        <v>156</v>
      </c>
      <c r="B8" s="9" t="s">
        <v>157</v>
      </c>
      <c r="C8" s="9" t="str">
        <f>IF(D8="","",Overview!$B$1)</f>
        <v>ambr250</v>
      </c>
      <c r="D8" s="38" t="s">
        <v>67</v>
      </c>
      <c r="E8" s="38" t="s">
        <v>68</v>
      </c>
      <c r="F8" s="38" t="s">
        <v>24</v>
      </c>
      <c r="G8" s="10" t="s">
        <v>204</v>
      </c>
      <c r="H8" s="10" t="s">
        <v>24</v>
      </c>
      <c r="I8" s="10" t="s">
        <v>40</v>
      </c>
      <c r="J8" s="10" t="s">
        <v>38</v>
      </c>
      <c r="K8" s="10" t="s">
        <v>136</v>
      </c>
      <c r="L8" s="11" t="s">
        <v>39</v>
      </c>
      <c r="M8" s="36" t="s">
        <v>24</v>
      </c>
      <c r="N8" s="8" cm="1">
        <f t="array" ref="N8">IF(H8="","",_xlfn.IFS(H8="not used",1,H8="manual",4,H8="semi-automated",7,H8="automated",10))</f>
        <v>4</v>
      </c>
      <c r="O8" s="8" cm="1">
        <f t="array" ref="O8">IF(I8="","",_xlfn.IFS(I8="easy",1,I8="acceptable",4,I8="difficult",7,I8="very difficult",10))</f>
        <v>4</v>
      </c>
      <c r="P8" s="8" cm="1">
        <f t="array" ref="P8">IF(J8="","",_xlfn.IFS(J8="poor",1,J8="acceptable",4,J8="good",7,J8="excellent",10))</f>
        <v>10</v>
      </c>
      <c r="Q8" s="36" t="s">
        <v>134</v>
      </c>
      <c r="R8" s="40" t="s">
        <v>24</v>
      </c>
      <c r="S8" s="40" t="s">
        <v>40</v>
      </c>
      <c r="T8" s="40" t="s">
        <v>38</v>
      </c>
      <c r="U8" s="8" cm="1">
        <f t="array" ref="U8">IF(R8="","",_xlfn.IFS(R8="not used",1,R8="manual",4,R8="semi-automated",7,R8="automated",10))</f>
        <v>4</v>
      </c>
      <c r="V8" s="8" cm="1">
        <f t="array" ref="V8">IF(S8="","",_xlfn.IFS(S8="easy",1,S8="acceptable",4,S8="difficult",7,S8="very difficult",10))</f>
        <v>4</v>
      </c>
      <c r="W8" s="8" cm="1">
        <f t="array" ref="W8">IF(T8="","",_xlfn.IFS(T8="poor",1,T8="acceptable",4,T8="good",7,T8="excellent",10))</f>
        <v>10</v>
      </c>
      <c r="X8" s="8">
        <f t="shared" si="0"/>
        <v>0</v>
      </c>
      <c r="Y8" s="8">
        <f t="shared" si="1"/>
        <v>0</v>
      </c>
      <c r="Z8" s="8">
        <f t="shared" si="2"/>
        <v>0</v>
      </c>
    </row>
    <row r="9" spans="1:26" x14ac:dyDescent="0.25">
      <c r="A9" s="9" t="s">
        <v>156</v>
      </c>
      <c r="B9" s="9" t="s">
        <v>157</v>
      </c>
      <c r="C9" s="9" t="str">
        <f>IF(D9="","",Overview!$B$1)</f>
        <v>ambr250</v>
      </c>
      <c r="D9" s="38" t="s">
        <v>69</v>
      </c>
      <c r="E9" s="38" t="s">
        <v>25</v>
      </c>
      <c r="F9" s="38" t="s">
        <v>24</v>
      </c>
      <c r="G9" s="10" t="s">
        <v>200</v>
      </c>
      <c r="H9" s="10" t="s">
        <v>24</v>
      </c>
      <c r="I9" s="10" t="s">
        <v>43</v>
      </c>
      <c r="J9" s="10" t="s">
        <v>45</v>
      </c>
      <c r="K9" s="10" t="s">
        <v>136</v>
      </c>
      <c r="L9" s="11" t="s">
        <v>39</v>
      </c>
      <c r="M9" s="36" t="s">
        <v>183</v>
      </c>
      <c r="N9" s="8" cm="1">
        <f t="array" ref="N9">IF(H9="","",_xlfn.IFS(H9="not used",1,H9="manual",4,H9="semi-automated",7,H9="automated",10))</f>
        <v>4</v>
      </c>
      <c r="O9" s="8" cm="1">
        <f t="array" ref="O9">IF(I9="","",_xlfn.IFS(I9="easy",1,I9="acceptable",4,I9="difficult",7,I9="very difficult",10))</f>
        <v>10</v>
      </c>
      <c r="P9" s="8" cm="1">
        <f t="array" ref="P9">IF(J9="","",_xlfn.IFS(J9="poor",1,J9="acceptable",4,J9="good",7,J9="excellent",10))</f>
        <v>7</v>
      </c>
      <c r="Q9" s="36" t="s">
        <v>134</v>
      </c>
      <c r="R9" s="40" t="s">
        <v>46</v>
      </c>
      <c r="S9" s="40" t="s">
        <v>40</v>
      </c>
      <c r="T9" s="40" t="s">
        <v>38</v>
      </c>
      <c r="U9" s="8" cm="1">
        <f t="array" ref="U9">IF(R9="","",_xlfn.IFS(R9="not used",1,R9="manual",4,R9="semi-automated",7,R9="automated",10))</f>
        <v>7</v>
      </c>
      <c r="V9" s="8" cm="1">
        <f t="array" ref="V9">IF(S9="","",_xlfn.IFS(S9="easy",1,S9="acceptable",4,S9="difficult",7,S9="very difficult",10))</f>
        <v>4</v>
      </c>
      <c r="W9" s="8" cm="1">
        <f t="array" ref="W9">IF(T9="","",_xlfn.IFS(T9="poor",1,T9="acceptable",4,T9="good",7,T9="excellent",10))</f>
        <v>10</v>
      </c>
      <c r="X9" s="8">
        <f t="shared" si="0"/>
        <v>3</v>
      </c>
      <c r="Y9" s="8">
        <f t="shared" si="1"/>
        <v>-6</v>
      </c>
      <c r="Z9" s="8">
        <f t="shared" si="2"/>
        <v>3</v>
      </c>
    </row>
    <row r="10" spans="1:26" x14ac:dyDescent="0.25">
      <c r="A10" s="9" t="s">
        <v>156</v>
      </c>
      <c r="B10" s="9" t="s">
        <v>157</v>
      </c>
      <c r="C10" s="9" t="str">
        <f>IF(D10="","",Overview!$B$1)</f>
        <v>ambr250</v>
      </c>
      <c r="D10" s="38" t="s">
        <v>97</v>
      </c>
      <c r="E10" s="38" t="s">
        <v>25</v>
      </c>
      <c r="F10" s="38" t="s">
        <v>34</v>
      </c>
      <c r="G10" s="10" t="s">
        <v>211</v>
      </c>
      <c r="H10" s="10" t="s">
        <v>24</v>
      </c>
      <c r="I10" s="10" t="s">
        <v>43</v>
      </c>
      <c r="J10" s="10" t="s">
        <v>40</v>
      </c>
      <c r="K10" s="10" t="s">
        <v>136</v>
      </c>
      <c r="L10" s="11" t="s">
        <v>39</v>
      </c>
      <c r="M10" s="36" t="s">
        <v>183</v>
      </c>
      <c r="N10" s="8" cm="1">
        <f t="array" ref="N10">IF(H10="","",_xlfn.IFS(H10="not used",1,H10="manual",4,H10="semi-automated",7,H10="automated",10))</f>
        <v>4</v>
      </c>
      <c r="O10" s="8" cm="1">
        <f t="array" ref="O10">IF(I10="","",_xlfn.IFS(I10="easy",1,I10="acceptable",4,I10="difficult",7,I10="very difficult",10))</f>
        <v>10</v>
      </c>
      <c r="P10" s="8" cm="1">
        <f t="array" ref="P10">IF(J10="","",_xlfn.IFS(J10="poor",1,J10="acceptable",4,J10="good",7,J10="excellent",10))</f>
        <v>4</v>
      </c>
      <c r="Q10" s="36" t="s">
        <v>134</v>
      </c>
      <c r="R10" s="40" t="s">
        <v>46</v>
      </c>
      <c r="S10" s="40" t="s">
        <v>40</v>
      </c>
      <c r="T10" s="40" t="s">
        <v>38</v>
      </c>
      <c r="U10" s="8" cm="1">
        <f t="array" ref="U10">IF(R10="","",_xlfn.IFS(R10="not used",1,R10="manual",4,R10="semi-automated",7,R10="automated",10))</f>
        <v>7</v>
      </c>
      <c r="V10" s="8" cm="1">
        <f t="array" ref="V10">IF(S10="","",_xlfn.IFS(S10="easy",1,S10="acceptable",4,S10="difficult",7,S10="very difficult",10))</f>
        <v>4</v>
      </c>
      <c r="W10" s="8" cm="1">
        <f t="array" ref="W10">IF(T10="","",_xlfn.IFS(T10="poor",1,T10="acceptable",4,T10="good",7,T10="excellent",10))</f>
        <v>10</v>
      </c>
      <c r="X10" s="8">
        <f t="shared" si="0"/>
        <v>3</v>
      </c>
      <c r="Y10" s="8">
        <f t="shared" si="1"/>
        <v>-6</v>
      </c>
      <c r="Z10" s="8">
        <f t="shared" si="2"/>
        <v>6</v>
      </c>
    </row>
    <row r="11" spans="1:26" x14ac:dyDescent="0.25">
      <c r="A11" s="9" t="s">
        <v>156</v>
      </c>
      <c r="B11" s="9" t="s">
        <v>157</v>
      </c>
      <c r="C11" s="9" t="str">
        <f>IF(D11="","",Overview!$B$1)</f>
        <v>ambr250</v>
      </c>
      <c r="D11" s="38" t="s">
        <v>82</v>
      </c>
      <c r="E11" s="38" t="s">
        <v>198</v>
      </c>
      <c r="F11" s="38" t="s">
        <v>29</v>
      </c>
      <c r="G11" s="10" t="s">
        <v>199</v>
      </c>
      <c r="H11" s="10" t="s">
        <v>46</v>
      </c>
      <c r="I11" s="10" t="s">
        <v>40</v>
      </c>
      <c r="J11" s="10" t="s">
        <v>45</v>
      </c>
      <c r="K11" s="10" t="s">
        <v>137</v>
      </c>
      <c r="L11" s="11" t="s">
        <v>138</v>
      </c>
      <c r="M11" s="36" t="s">
        <v>210</v>
      </c>
      <c r="N11" s="8" cm="1">
        <f t="array" ref="N11">IF(H11="","",_xlfn.IFS(H11="not used",1,H11="manual",4,H11="semi-automated",7,H11="automated",10))</f>
        <v>7</v>
      </c>
      <c r="O11" s="8" cm="1">
        <f t="array" ref="O11">IF(I11="","",_xlfn.IFS(I11="easy",1,I11="acceptable",4,I11="difficult",7,I11="very difficult",10))</f>
        <v>4</v>
      </c>
      <c r="P11" s="8" cm="1">
        <f t="array" ref="P11">IF(J11="","",_xlfn.IFS(J11="poor",1,J11="acceptable",4,J11="good",7,J11="excellent",10))</f>
        <v>7</v>
      </c>
      <c r="Q11" s="36" t="s">
        <v>133</v>
      </c>
      <c r="R11" s="40" t="s">
        <v>46</v>
      </c>
      <c r="S11" s="40" t="s">
        <v>37</v>
      </c>
      <c r="T11" s="40" t="s">
        <v>38</v>
      </c>
      <c r="U11" s="8" cm="1">
        <f t="array" ref="U11">IF(R11="","",_xlfn.IFS(R11="not used",1,R11="manual",4,R11="semi-automated",7,R11="automated",10))</f>
        <v>7</v>
      </c>
      <c r="V11" s="8" cm="1">
        <f t="array" ref="V11">IF(S11="","",_xlfn.IFS(S11="easy",1,S11="acceptable",4,S11="difficult",7,S11="very difficult",10))</f>
        <v>1</v>
      </c>
      <c r="W11" s="8" cm="1">
        <f t="array" ref="W11">IF(T11="","",_xlfn.IFS(T11="poor",1,T11="acceptable",4,T11="good",7,T11="excellent",10))</f>
        <v>10</v>
      </c>
      <c r="X11" s="8">
        <f t="shared" si="0"/>
        <v>0</v>
      </c>
      <c r="Y11" s="8">
        <f t="shared" si="1"/>
        <v>-3</v>
      </c>
      <c r="Z11" s="8">
        <f t="shared" si="2"/>
        <v>3</v>
      </c>
    </row>
    <row r="12" spans="1:26" x14ac:dyDescent="0.25">
      <c r="A12" s="9" t="s">
        <v>156</v>
      </c>
      <c r="B12" s="9" t="s">
        <v>157</v>
      </c>
      <c r="C12" s="9" t="str">
        <f>IF(D12="","",Overview!$B$1)</f>
        <v>ambr250</v>
      </c>
      <c r="D12" s="38" t="s">
        <v>88</v>
      </c>
      <c r="E12" s="38" t="s">
        <v>152</v>
      </c>
      <c r="F12" s="38" t="s">
        <v>24</v>
      </c>
      <c r="G12" s="10" t="s">
        <v>162</v>
      </c>
      <c r="H12" s="10" t="s">
        <v>24</v>
      </c>
      <c r="I12" s="10" t="s">
        <v>37</v>
      </c>
      <c r="J12" s="10" t="s">
        <v>38</v>
      </c>
      <c r="K12" s="10" t="s">
        <v>136</v>
      </c>
      <c r="L12" s="11" t="s">
        <v>39</v>
      </c>
      <c r="M12" s="36" t="s">
        <v>152</v>
      </c>
      <c r="N12" s="8" cm="1">
        <f t="array" ref="N12">IF(H12="","",_xlfn.IFS(H12="not used",1,H12="manual",4,H12="semi-automated",7,H12="automated",10))</f>
        <v>4</v>
      </c>
      <c r="O12" s="8" cm="1">
        <f t="array" ref="O12">IF(I12="","",_xlfn.IFS(I12="easy",1,I12="acceptable",4,I12="difficult",7,I12="very difficult",10))</f>
        <v>1</v>
      </c>
      <c r="P12" s="8" cm="1">
        <f t="array" ref="P12">IF(J12="","",_xlfn.IFS(J12="poor",1,J12="acceptable",4,J12="good",7,J12="excellent",10))</f>
        <v>10</v>
      </c>
      <c r="Q12" s="36" t="s">
        <v>134</v>
      </c>
      <c r="R12" s="40" t="s">
        <v>58</v>
      </c>
      <c r="S12" s="40" t="s">
        <v>37</v>
      </c>
      <c r="T12" s="40" t="s">
        <v>38</v>
      </c>
      <c r="U12" s="8" cm="1">
        <f t="array" ref="U12">IF(R12="","",_xlfn.IFS(R12="not used",1,R12="manual",4,R12="semi-automated",7,R12="automated",10))</f>
        <v>10</v>
      </c>
      <c r="V12" s="8" cm="1">
        <f t="array" ref="V12">IF(S12="","",_xlfn.IFS(S12="easy",1,S12="acceptable",4,S12="difficult",7,S12="very difficult",10))</f>
        <v>1</v>
      </c>
      <c r="W12" s="8" cm="1">
        <f t="array" ref="W12">IF(T12="","",_xlfn.IFS(T12="poor",1,T12="acceptable",4,T12="good",7,T12="excellent",10))</f>
        <v>10</v>
      </c>
      <c r="X12" s="8">
        <f t="shared" si="0"/>
        <v>6</v>
      </c>
      <c r="Y12" s="8">
        <f t="shared" si="1"/>
        <v>0</v>
      </c>
      <c r="Z12" s="8">
        <f t="shared" si="2"/>
        <v>0</v>
      </c>
    </row>
    <row r="13" spans="1:26" x14ac:dyDescent="0.25">
      <c r="A13" s="9" t="s">
        <v>156</v>
      </c>
      <c r="B13" s="9" t="s">
        <v>157</v>
      </c>
      <c r="C13" s="9" t="str">
        <f>IF(D13="","",Overview!$B$1)</f>
        <v>ambr250</v>
      </c>
      <c r="D13" s="38" t="s">
        <v>84</v>
      </c>
      <c r="E13" s="38" t="s">
        <v>198</v>
      </c>
      <c r="F13" s="38" t="s">
        <v>29</v>
      </c>
      <c r="G13" s="10" t="s">
        <v>163</v>
      </c>
      <c r="H13" s="10" t="s">
        <v>46</v>
      </c>
      <c r="I13" s="10" t="s">
        <v>40</v>
      </c>
      <c r="J13" s="10" t="s">
        <v>45</v>
      </c>
      <c r="K13" s="10" t="s">
        <v>137</v>
      </c>
      <c r="L13" s="11" t="s">
        <v>138</v>
      </c>
      <c r="M13" s="36" t="s">
        <v>187</v>
      </c>
      <c r="N13" s="8" cm="1">
        <f t="array" ref="N13">IF(H13="","",_xlfn.IFS(H13="not used",1,H13="manual",4,H13="semi-automated",7,H13="automated",10))</f>
        <v>7</v>
      </c>
      <c r="O13" s="8" cm="1">
        <f t="array" ref="O13">IF(I13="","",_xlfn.IFS(I13="easy",1,I13="acceptable",4,I13="difficult",7,I13="very difficult",10))</f>
        <v>4</v>
      </c>
      <c r="P13" s="8" cm="1">
        <f t="array" ref="P13">IF(J13="","",_xlfn.IFS(J13="poor",1,J13="acceptable",4,J13="good",7,J13="excellent",10))</f>
        <v>7</v>
      </c>
      <c r="Q13" s="36" t="s">
        <v>133</v>
      </c>
      <c r="R13" s="40" t="s">
        <v>46</v>
      </c>
      <c r="S13" s="40" t="s">
        <v>37</v>
      </c>
      <c r="T13" s="40" t="s">
        <v>38</v>
      </c>
      <c r="U13" s="8" cm="1">
        <f t="array" ref="U13">IF(R13="","",_xlfn.IFS(R13="not used",1,R13="manual",4,R13="semi-automated",7,R13="automated",10))</f>
        <v>7</v>
      </c>
      <c r="V13" s="8" cm="1">
        <f t="array" ref="V13">IF(S13="","",_xlfn.IFS(S13="easy",1,S13="acceptable",4,S13="difficult",7,S13="very difficult",10))</f>
        <v>1</v>
      </c>
      <c r="W13" s="8" cm="1">
        <f t="array" ref="W13">IF(T13="","",_xlfn.IFS(T13="poor",1,T13="acceptable",4,T13="good",7,T13="excellent",10))</f>
        <v>10</v>
      </c>
      <c r="X13" s="8">
        <f t="shared" si="0"/>
        <v>0</v>
      </c>
      <c r="Y13" s="8">
        <f t="shared" si="1"/>
        <v>-3</v>
      </c>
      <c r="Z13" s="8">
        <f t="shared" si="2"/>
        <v>3</v>
      </c>
    </row>
    <row r="14" spans="1:26" x14ac:dyDescent="0.25">
      <c r="A14" s="9" t="s">
        <v>156</v>
      </c>
      <c r="B14" s="9" t="s">
        <v>157</v>
      </c>
      <c r="C14" s="9" t="str">
        <f>IF(D14="","",Overview!$B$1)</f>
        <v>ambr250</v>
      </c>
      <c r="D14" s="38" t="s">
        <v>96</v>
      </c>
      <c r="E14" s="38" t="s">
        <v>201</v>
      </c>
      <c r="F14" s="38" t="s">
        <v>34</v>
      </c>
      <c r="G14" s="10" t="s">
        <v>164</v>
      </c>
      <c r="H14" s="10" t="s">
        <v>42</v>
      </c>
      <c r="I14" s="10" t="s">
        <v>43</v>
      </c>
      <c r="J14" s="10" t="s">
        <v>45</v>
      </c>
      <c r="K14" s="10" t="s">
        <v>136</v>
      </c>
      <c r="L14" s="11" t="s">
        <v>39</v>
      </c>
      <c r="M14" s="36" t="s">
        <v>183</v>
      </c>
      <c r="N14" s="8" cm="1">
        <f t="array" ref="N14">IF(H14="","",_xlfn.IFS(H14="not used",1,H14="manual",4,H14="semi-automated",7,H14="automated",10))</f>
        <v>1</v>
      </c>
      <c r="O14" s="8" cm="1">
        <f t="array" ref="O14">IF(I14="","",_xlfn.IFS(I14="easy",1,I14="acceptable",4,I14="difficult",7,I14="very difficult",10))</f>
        <v>10</v>
      </c>
      <c r="P14" s="8" cm="1">
        <f t="array" ref="P14">IF(J14="","",_xlfn.IFS(J14="poor",1,J14="acceptable",4,J14="good",7,J14="excellent",10))</f>
        <v>7</v>
      </c>
      <c r="Q14" s="36" t="s">
        <v>134</v>
      </c>
      <c r="R14" s="40" t="s">
        <v>42</v>
      </c>
      <c r="S14" s="40" t="s">
        <v>40</v>
      </c>
      <c r="T14" s="40" t="s">
        <v>45</v>
      </c>
      <c r="U14" s="8" cm="1">
        <f t="array" ref="U14">IF(R14="","",_xlfn.IFS(R14="not used",1,R14="manual",4,R14="semi-automated",7,R14="automated",10))</f>
        <v>1</v>
      </c>
      <c r="V14" s="8" cm="1">
        <f t="array" ref="V14">IF(S14="","",_xlfn.IFS(S14="easy",1,S14="acceptable",4,S14="difficult",7,S14="very difficult",10))</f>
        <v>4</v>
      </c>
      <c r="W14" s="8" cm="1">
        <f t="array" ref="W14">IF(T14="","",_xlfn.IFS(T14="poor",1,T14="acceptable",4,T14="good",7,T14="excellent",10))</f>
        <v>7</v>
      </c>
      <c r="X14" s="8">
        <f t="shared" si="0"/>
        <v>0</v>
      </c>
      <c r="Y14" s="8">
        <f t="shared" si="1"/>
        <v>-6</v>
      </c>
      <c r="Z14" s="8">
        <f t="shared" si="2"/>
        <v>0</v>
      </c>
    </row>
    <row r="15" spans="1:26" x14ac:dyDescent="0.25">
      <c r="A15" s="9" t="s">
        <v>156</v>
      </c>
      <c r="B15" s="9" t="s">
        <v>157</v>
      </c>
      <c r="C15" s="9" t="str">
        <f>IF(D15="","",Overview!$B$1)</f>
        <v>ambr250</v>
      </c>
      <c r="D15" s="38" t="s">
        <v>66</v>
      </c>
      <c r="E15" s="38" t="s">
        <v>202</v>
      </c>
      <c r="F15" s="38" t="s">
        <v>24</v>
      </c>
      <c r="G15" s="10" t="s">
        <v>165</v>
      </c>
      <c r="H15" s="10" t="s">
        <v>24</v>
      </c>
      <c r="I15" s="10" t="s">
        <v>40</v>
      </c>
      <c r="J15" s="10" t="s">
        <v>45</v>
      </c>
      <c r="K15" s="10" t="s">
        <v>137</v>
      </c>
      <c r="L15" s="11" t="s">
        <v>44</v>
      </c>
      <c r="M15" s="36" t="s">
        <v>190</v>
      </c>
      <c r="N15" s="8" cm="1">
        <f t="array" ref="N15">IF(H15="","",_xlfn.IFS(H15="not used",1,H15="manual",4,H15="semi-automated",7,H15="automated",10))</f>
        <v>4</v>
      </c>
      <c r="O15" s="8" cm="1">
        <f t="array" ref="O15">IF(I15="","",_xlfn.IFS(I15="easy",1,I15="acceptable",4,I15="difficult",7,I15="very difficult",10))</f>
        <v>4</v>
      </c>
      <c r="P15" s="8" cm="1">
        <f t="array" ref="P15">IF(J15="","",_xlfn.IFS(J15="poor",1,J15="acceptable",4,J15="good",7,J15="excellent",10))</f>
        <v>7</v>
      </c>
      <c r="Q15" s="36" t="s">
        <v>133</v>
      </c>
      <c r="R15" s="40" t="s">
        <v>24</v>
      </c>
      <c r="S15" s="40" t="s">
        <v>40</v>
      </c>
      <c r="T15" s="40" t="s">
        <v>38</v>
      </c>
      <c r="U15" s="8" cm="1">
        <f t="array" ref="U15">IF(R15="","",_xlfn.IFS(R15="not used",1,R15="manual",4,R15="semi-automated",7,R15="automated",10))</f>
        <v>4</v>
      </c>
      <c r="V15" s="8" cm="1">
        <f t="array" ref="V15">IF(S15="","",_xlfn.IFS(S15="easy",1,S15="acceptable",4,S15="difficult",7,S15="very difficult",10))</f>
        <v>4</v>
      </c>
      <c r="W15" s="8" cm="1">
        <f t="array" ref="W15">IF(T15="","",_xlfn.IFS(T15="poor",1,T15="acceptable",4,T15="good",7,T15="excellent",10))</f>
        <v>10</v>
      </c>
      <c r="X15" s="8">
        <f t="shared" si="0"/>
        <v>0</v>
      </c>
      <c r="Y15" s="8">
        <f t="shared" si="1"/>
        <v>0</v>
      </c>
      <c r="Z15" s="8">
        <f t="shared" si="2"/>
        <v>3</v>
      </c>
    </row>
    <row r="16" spans="1:26" x14ac:dyDescent="0.25">
      <c r="A16" s="9" t="s">
        <v>156</v>
      </c>
      <c r="B16" s="9" t="s">
        <v>157</v>
      </c>
      <c r="C16" s="9" t="str">
        <f>IF(D16="","",Overview!$B$1)</f>
        <v>ambr250</v>
      </c>
      <c r="D16" s="38" t="s">
        <v>78</v>
      </c>
      <c r="E16" s="38" t="s">
        <v>30</v>
      </c>
      <c r="F16" s="38" t="s">
        <v>29</v>
      </c>
      <c r="G16" s="10" t="s">
        <v>166</v>
      </c>
      <c r="H16" s="10" t="s">
        <v>24</v>
      </c>
      <c r="I16" s="10" t="s">
        <v>40</v>
      </c>
      <c r="J16" s="10" t="s">
        <v>45</v>
      </c>
      <c r="K16" s="10" t="s">
        <v>136</v>
      </c>
      <c r="L16" s="11" t="s">
        <v>138</v>
      </c>
      <c r="M16" s="36" t="s">
        <v>185</v>
      </c>
      <c r="N16" s="8" cm="1">
        <f t="array" ref="N16">IF(H16="","",_xlfn.IFS(H16="not used",1,H16="manual",4,H16="semi-automated",7,H16="automated",10))</f>
        <v>4</v>
      </c>
      <c r="O16" s="8" cm="1">
        <f t="array" ref="O16">IF(I16="","",_xlfn.IFS(I16="easy",1,I16="acceptable",4,I16="difficult",7,I16="very difficult",10))</f>
        <v>4</v>
      </c>
      <c r="P16" s="8" cm="1">
        <f t="array" ref="P16">IF(J16="","",_xlfn.IFS(J16="poor",1,J16="acceptable",4,J16="good",7,J16="excellent",10))</f>
        <v>7</v>
      </c>
      <c r="Q16" s="36" t="s">
        <v>133</v>
      </c>
      <c r="R16" s="40" t="s">
        <v>46</v>
      </c>
      <c r="S16" s="40" t="s">
        <v>40</v>
      </c>
      <c r="T16" s="40" t="s">
        <v>45</v>
      </c>
      <c r="U16" s="8" cm="1">
        <f t="array" ref="U16">IF(R16="","",_xlfn.IFS(R16="not used",1,R16="manual",4,R16="semi-automated",7,R16="automated",10))</f>
        <v>7</v>
      </c>
      <c r="V16" s="8" cm="1">
        <f t="array" ref="V16">IF(S16="","",_xlfn.IFS(S16="easy",1,S16="acceptable",4,S16="difficult",7,S16="very difficult",10))</f>
        <v>4</v>
      </c>
      <c r="W16" s="8" cm="1">
        <f t="array" ref="W16">IF(T16="","",_xlfn.IFS(T16="poor",1,T16="acceptable",4,T16="good",7,T16="excellent",10))</f>
        <v>7</v>
      </c>
      <c r="X16" s="8">
        <f t="shared" si="0"/>
        <v>3</v>
      </c>
      <c r="Y16" s="8">
        <f t="shared" si="1"/>
        <v>0</v>
      </c>
      <c r="Z16" s="8">
        <f t="shared" si="2"/>
        <v>0</v>
      </c>
    </row>
    <row r="17" spans="1:26" x14ac:dyDescent="0.25">
      <c r="A17" s="9" t="s">
        <v>156</v>
      </c>
      <c r="B17" s="9" t="s">
        <v>157</v>
      </c>
      <c r="C17" s="9" t="str">
        <f>IF(D17="","",Overview!$B$1)</f>
        <v>ambr250</v>
      </c>
      <c r="D17" s="38" t="s">
        <v>87</v>
      </c>
      <c r="E17" s="38" t="s">
        <v>30</v>
      </c>
      <c r="F17" s="38" t="s">
        <v>34</v>
      </c>
      <c r="G17" s="10" t="s">
        <v>167</v>
      </c>
      <c r="H17" s="10" t="s">
        <v>46</v>
      </c>
      <c r="I17" s="10" t="s">
        <v>40</v>
      </c>
      <c r="J17" s="10" t="s">
        <v>45</v>
      </c>
      <c r="K17" s="10" t="s">
        <v>137</v>
      </c>
      <c r="L17" s="11" t="s">
        <v>39</v>
      </c>
      <c r="M17" s="36" t="s">
        <v>183</v>
      </c>
      <c r="N17" s="8" cm="1">
        <f t="array" ref="N17">IF(H17="","",_xlfn.IFS(H17="not used",1,H17="manual",4,H17="semi-automated",7,H17="automated",10))</f>
        <v>7</v>
      </c>
      <c r="O17" s="8" cm="1">
        <f t="array" ref="O17">IF(I17="","",_xlfn.IFS(I17="easy",1,I17="acceptable",4,I17="difficult",7,I17="very difficult",10))</f>
        <v>4</v>
      </c>
      <c r="P17" s="8" cm="1">
        <f t="array" ref="P17">IF(J17="","",_xlfn.IFS(J17="poor",1,J17="acceptable",4,J17="good",7,J17="excellent",10))</f>
        <v>7</v>
      </c>
      <c r="Q17" s="36" t="s">
        <v>134</v>
      </c>
      <c r="R17" s="40" t="s">
        <v>46</v>
      </c>
      <c r="S17" s="40" t="s">
        <v>37</v>
      </c>
      <c r="T17" s="40" t="s">
        <v>45</v>
      </c>
      <c r="U17" s="8" cm="1">
        <f t="array" ref="U17">IF(R17="","",_xlfn.IFS(R17="not used",1,R17="manual",4,R17="semi-automated",7,R17="automated",10))</f>
        <v>7</v>
      </c>
      <c r="V17" s="8" cm="1">
        <f t="array" ref="V17">IF(S17="","",_xlfn.IFS(S17="easy",1,S17="acceptable",4,S17="difficult",7,S17="very difficult",10))</f>
        <v>1</v>
      </c>
      <c r="W17" s="8" cm="1">
        <f t="array" ref="W17">IF(T17="","",_xlfn.IFS(T17="poor",1,T17="acceptable",4,T17="good",7,T17="excellent",10))</f>
        <v>7</v>
      </c>
      <c r="X17" s="8">
        <f t="shared" si="0"/>
        <v>0</v>
      </c>
      <c r="Y17" s="8">
        <f t="shared" si="1"/>
        <v>-3</v>
      </c>
      <c r="Z17" s="8">
        <f t="shared" si="2"/>
        <v>0</v>
      </c>
    </row>
    <row r="18" spans="1:26" x14ac:dyDescent="0.25">
      <c r="A18" s="9" t="s">
        <v>156</v>
      </c>
      <c r="B18" s="9" t="s">
        <v>157</v>
      </c>
      <c r="C18" s="9" t="str">
        <f>IF(D18="","",Overview!$B$1)</f>
        <v>ambr250</v>
      </c>
      <c r="D18" s="38" t="s">
        <v>92</v>
      </c>
      <c r="E18" s="38" t="s">
        <v>30</v>
      </c>
      <c r="F18" s="38" t="s">
        <v>34</v>
      </c>
      <c r="G18" s="10" t="s">
        <v>168</v>
      </c>
      <c r="H18" s="10" t="s">
        <v>46</v>
      </c>
      <c r="I18" s="10" t="s">
        <v>41</v>
      </c>
      <c r="J18" s="10" t="s">
        <v>40</v>
      </c>
      <c r="K18" s="10" t="s">
        <v>137</v>
      </c>
      <c r="L18" s="11" t="s">
        <v>138</v>
      </c>
      <c r="M18" s="36" t="s">
        <v>139</v>
      </c>
      <c r="N18" s="8" cm="1">
        <f t="array" ref="N18">IF(H18="","",_xlfn.IFS(H18="not used",1,H18="manual",4,H18="semi-automated",7,H18="automated",10))</f>
        <v>7</v>
      </c>
      <c r="O18" s="8" cm="1">
        <f t="array" ref="O18">IF(I18="","",_xlfn.IFS(I18="easy",1,I18="acceptable",4,I18="difficult",7,I18="very difficult",10))</f>
        <v>7</v>
      </c>
      <c r="P18" s="8" cm="1">
        <f t="array" ref="P18">IF(J18="","",_xlfn.IFS(J18="poor",1,J18="acceptable",4,J18="good",7,J18="excellent",10))</f>
        <v>4</v>
      </c>
      <c r="Q18" s="36" t="s">
        <v>133</v>
      </c>
      <c r="R18" s="40" t="s">
        <v>58</v>
      </c>
      <c r="S18" s="40" t="s">
        <v>37</v>
      </c>
      <c r="T18" s="40" t="s">
        <v>38</v>
      </c>
      <c r="U18" s="8" cm="1">
        <f t="array" ref="U18">IF(R18="","",_xlfn.IFS(R18="not used",1,R18="manual",4,R18="semi-automated",7,R18="automated",10))</f>
        <v>10</v>
      </c>
      <c r="V18" s="8" cm="1">
        <f t="array" ref="V18">IF(S18="","",_xlfn.IFS(S18="easy",1,S18="acceptable",4,S18="difficult",7,S18="very difficult",10))</f>
        <v>1</v>
      </c>
      <c r="W18" s="8" cm="1">
        <f t="array" ref="W18">IF(T18="","",_xlfn.IFS(T18="poor",1,T18="acceptable",4,T18="good",7,T18="excellent",10))</f>
        <v>10</v>
      </c>
      <c r="X18" s="8">
        <f t="shared" si="0"/>
        <v>3</v>
      </c>
      <c r="Y18" s="8">
        <f t="shared" si="1"/>
        <v>-6</v>
      </c>
      <c r="Z18" s="8">
        <f t="shared" si="2"/>
        <v>6</v>
      </c>
    </row>
    <row r="19" spans="1:26" x14ac:dyDescent="0.25">
      <c r="A19" s="9" t="s">
        <v>156</v>
      </c>
      <c r="B19" s="9" t="s">
        <v>157</v>
      </c>
      <c r="C19" s="9" t="str">
        <f>IF(D19="","",Overview!$B$1)</f>
        <v>ambr250</v>
      </c>
      <c r="D19" s="38" t="s">
        <v>203</v>
      </c>
      <c r="E19" s="38" t="s">
        <v>30</v>
      </c>
      <c r="F19" s="38" t="s">
        <v>34</v>
      </c>
      <c r="G19" s="10" t="s">
        <v>169</v>
      </c>
      <c r="H19" s="10" t="s">
        <v>24</v>
      </c>
      <c r="I19" s="10" t="s">
        <v>40</v>
      </c>
      <c r="J19" s="10" t="s">
        <v>40</v>
      </c>
      <c r="K19" s="10" t="s">
        <v>136</v>
      </c>
      <c r="L19" s="11" t="s">
        <v>39</v>
      </c>
      <c r="M19" s="36" t="s">
        <v>25</v>
      </c>
      <c r="N19" s="8" cm="1">
        <f t="array" ref="N19">IF(H19="","",_xlfn.IFS(H19="not used",1,H19="manual",4,H19="semi-automated",7,H19="automated",10))</f>
        <v>4</v>
      </c>
      <c r="O19" s="8" cm="1">
        <f t="array" ref="O19">IF(I19="","",_xlfn.IFS(I19="easy",1,I19="acceptable",4,I19="difficult",7,I19="very difficult",10))</f>
        <v>4</v>
      </c>
      <c r="P19" s="8" cm="1">
        <f t="array" ref="P19">IF(J19="","",_xlfn.IFS(J19="poor",1,J19="acceptable",4,J19="good",7,J19="excellent",10))</f>
        <v>4</v>
      </c>
      <c r="Q19" s="36" t="s">
        <v>134</v>
      </c>
      <c r="R19" s="40" t="s">
        <v>24</v>
      </c>
      <c r="S19" s="40" t="s">
        <v>40</v>
      </c>
      <c r="T19" s="40" t="s">
        <v>38</v>
      </c>
      <c r="U19" s="8" cm="1">
        <f t="array" ref="U19">IF(R19="","",_xlfn.IFS(R19="not used",1,R19="manual",4,R19="semi-automated",7,R19="automated",10))</f>
        <v>4</v>
      </c>
      <c r="V19" s="8" cm="1">
        <f t="array" ref="V19">IF(S19="","",_xlfn.IFS(S19="easy",1,S19="acceptable",4,S19="difficult",7,S19="very difficult",10))</f>
        <v>4</v>
      </c>
      <c r="W19" s="8" cm="1">
        <f t="array" ref="W19">IF(T19="","",_xlfn.IFS(T19="poor",1,T19="acceptable",4,T19="good",7,T19="excellent",10))</f>
        <v>10</v>
      </c>
      <c r="X19" s="8">
        <f t="shared" si="0"/>
        <v>0</v>
      </c>
      <c r="Y19" s="8">
        <f t="shared" si="1"/>
        <v>0</v>
      </c>
      <c r="Z19" s="8">
        <f t="shared" si="2"/>
        <v>6</v>
      </c>
    </row>
    <row r="20" spans="1:26" x14ac:dyDescent="0.25">
      <c r="A20" s="9" t="s">
        <v>156</v>
      </c>
      <c r="B20" s="9" t="s">
        <v>157</v>
      </c>
      <c r="C20" s="9" t="str">
        <f>IF(D20="","",Overview!$B$1)</f>
        <v>ambr250</v>
      </c>
      <c r="D20" s="38" t="s">
        <v>94</v>
      </c>
      <c r="E20" s="38" t="s">
        <v>30</v>
      </c>
      <c r="F20" s="38" t="s">
        <v>34</v>
      </c>
      <c r="G20" s="10" t="s">
        <v>170</v>
      </c>
      <c r="H20" s="10" t="s">
        <v>24</v>
      </c>
      <c r="I20" s="10" t="s">
        <v>40</v>
      </c>
      <c r="J20" s="10" t="s">
        <v>40</v>
      </c>
      <c r="K20" s="10" t="s">
        <v>136</v>
      </c>
      <c r="L20" s="11" t="s">
        <v>39</v>
      </c>
      <c r="M20" s="36" t="s">
        <v>186</v>
      </c>
      <c r="N20" s="8" cm="1">
        <f t="array" ref="N20">IF(H20="","",_xlfn.IFS(H20="not used",1,H20="manual",4,H20="semi-automated",7,H20="automated",10))</f>
        <v>4</v>
      </c>
      <c r="O20" s="8" cm="1">
        <f t="array" ref="O20">IF(I20="","",_xlfn.IFS(I20="easy",1,I20="acceptable",4,I20="difficult",7,I20="very difficult",10))</f>
        <v>4</v>
      </c>
      <c r="P20" s="8" cm="1">
        <f t="array" ref="P20">IF(J20="","",_xlfn.IFS(J20="poor",1,J20="acceptable",4,J20="good",7,J20="excellent",10))</f>
        <v>4</v>
      </c>
      <c r="Q20" s="36" t="s">
        <v>134</v>
      </c>
      <c r="R20" s="40" t="s">
        <v>24</v>
      </c>
      <c r="S20" s="40" t="s">
        <v>40</v>
      </c>
      <c r="T20" s="40" t="s">
        <v>38</v>
      </c>
      <c r="U20" s="8" cm="1">
        <f t="array" ref="U20">IF(R20="","",_xlfn.IFS(R20="not used",1,R20="manual",4,R20="semi-automated",7,R20="automated",10))</f>
        <v>4</v>
      </c>
      <c r="V20" s="8" cm="1">
        <f t="array" ref="V20">IF(S20="","",_xlfn.IFS(S20="easy",1,S20="acceptable",4,S20="difficult",7,S20="very difficult",10))</f>
        <v>4</v>
      </c>
      <c r="W20" s="8" cm="1">
        <f t="array" ref="W20">IF(T20="","",_xlfn.IFS(T20="poor",1,T20="acceptable",4,T20="good",7,T20="excellent",10))</f>
        <v>10</v>
      </c>
      <c r="X20" s="8">
        <f t="shared" si="0"/>
        <v>0</v>
      </c>
      <c r="Y20" s="8">
        <f t="shared" si="1"/>
        <v>0</v>
      </c>
      <c r="Z20" s="8">
        <f t="shared" si="2"/>
        <v>6</v>
      </c>
    </row>
    <row r="21" spans="1:26" x14ac:dyDescent="0.25">
      <c r="A21" s="9" t="s">
        <v>156</v>
      </c>
      <c r="B21" s="9" t="s">
        <v>157</v>
      </c>
      <c r="C21" s="9" t="str">
        <f>IF(D21="","",Overview!$B$1)</f>
        <v>ambr250</v>
      </c>
      <c r="D21" s="38" t="s">
        <v>98</v>
      </c>
      <c r="E21" s="38" t="s">
        <v>30</v>
      </c>
      <c r="F21" s="38" t="s">
        <v>34</v>
      </c>
      <c r="G21" s="10" t="s">
        <v>171</v>
      </c>
      <c r="H21" s="10" t="s">
        <v>46</v>
      </c>
      <c r="I21" s="10" t="s">
        <v>43</v>
      </c>
      <c r="J21" s="10" t="s">
        <v>48</v>
      </c>
      <c r="K21" s="10" t="s">
        <v>136</v>
      </c>
      <c r="L21" s="11" t="s">
        <v>39</v>
      </c>
      <c r="M21" s="36" t="s">
        <v>183</v>
      </c>
      <c r="N21" s="8" cm="1">
        <f t="array" ref="N21">IF(H21="","",_xlfn.IFS(H21="not used",1,H21="manual",4,H21="semi-automated",7,H21="automated",10))</f>
        <v>7</v>
      </c>
      <c r="O21" s="8" cm="1">
        <f t="array" ref="O21">IF(I21="","",_xlfn.IFS(I21="easy",1,I21="acceptable",4,I21="difficult",7,I21="very difficult",10))</f>
        <v>10</v>
      </c>
      <c r="P21" s="8" cm="1">
        <f t="array" ref="P21">IF(J21="","",_xlfn.IFS(J21="poor",1,J21="acceptable",4,J21="good",7,J21="excellent",10))</f>
        <v>1</v>
      </c>
      <c r="Q21" s="36" t="s">
        <v>134</v>
      </c>
      <c r="R21" s="40" t="s">
        <v>46</v>
      </c>
      <c r="S21" s="40" t="s">
        <v>37</v>
      </c>
      <c r="T21" s="40" t="s">
        <v>38</v>
      </c>
      <c r="U21" s="8" cm="1">
        <f t="array" ref="U21">IF(R21="","",_xlfn.IFS(R21="not used",1,R21="manual",4,R21="semi-automated",7,R21="automated",10))</f>
        <v>7</v>
      </c>
      <c r="V21" s="8" cm="1">
        <f t="array" ref="V21">IF(S21="","",_xlfn.IFS(S21="easy",1,S21="acceptable",4,S21="difficult",7,S21="very difficult",10))</f>
        <v>1</v>
      </c>
      <c r="W21" s="8" cm="1">
        <f t="array" ref="W21">IF(T21="","",_xlfn.IFS(T21="poor",1,T21="acceptable",4,T21="good",7,T21="excellent",10))</f>
        <v>10</v>
      </c>
      <c r="X21" s="8">
        <f t="shared" si="0"/>
        <v>0</v>
      </c>
      <c r="Y21" s="8">
        <f t="shared" si="1"/>
        <v>-9</v>
      </c>
      <c r="Z21" s="8">
        <f t="shared" si="2"/>
        <v>9</v>
      </c>
    </row>
    <row r="22" spans="1:26" x14ac:dyDescent="0.25">
      <c r="A22" s="9" t="s">
        <v>156</v>
      </c>
      <c r="B22" s="9" t="s">
        <v>157</v>
      </c>
      <c r="C22" s="9" t="str">
        <f>IF(D22="","",Overview!$B$1)</f>
        <v>ambr250</v>
      </c>
      <c r="D22" s="38" t="s">
        <v>79</v>
      </c>
      <c r="E22" s="38" t="s">
        <v>31</v>
      </c>
      <c r="F22" s="38" t="s">
        <v>29</v>
      </c>
      <c r="G22" s="10" t="s">
        <v>172</v>
      </c>
      <c r="H22" s="10" t="s">
        <v>24</v>
      </c>
      <c r="I22" s="10" t="s">
        <v>40</v>
      </c>
      <c r="J22" s="10" t="s">
        <v>45</v>
      </c>
      <c r="K22" s="10" t="s">
        <v>136</v>
      </c>
      <c r="L22" s="11" t="s">
        <v>138</v>
      </c>
      <c r="M22" s="36" t="s">
        <v>185</v>
      </c>
      <c r="N22" s="8" cm="1">
        <f t="array" ref="N22">IF(H22="","",_xlfn.IFS(H22="not used",1,H22="manual",4,H22="semi-automated",7,H22="automated",10))</f>
        <v>4</v>
      </c>
      <c r="O22" s="8" cm="1">
        <f t="array" ref="O22">IF(I22="","",_xlfn.IFS(I22="easy",1,I22="acceptable",4,I22="difficult",7,I22="very difficult",10))</f>
        <v>4</v>
      </c>
      <c r="P22" s="8" cm="1">
        <f t="array" ref="P22">IF(J22="","",_xlfn.IFS(J22="poor",1,J22="acceptable",4,J22="good",7,J22="excellent",10))</f>
        <v>7</v>
      </c>
      <c r="Q22" s="36" t="s">
        <v>133</v>
      </c>
      <c r="R22" s="40" t="s">
        <v>46</v>
      </c>
      <c r="S22" s="40" t="s">
        <v>40</v>
      </c>
      <c r="T22" s="40" t="s">
        <v>45</v>
      </c>
      <c r="U22" s="8" cm="1">
        <f t="array" ref="U22">IF(R22="","",_xlfn.IFS(R22="not used",1,R22="manual",4,R22="semi-automated",7,R22="automated",10))</f>
        <v>7</v>
      </c>
      <c r="V22" s="8" cm="1">
        <f t="array" ref="V22">IF(S22="","",_xlfn.IFS(S22="easy",1,S22="acceptable",4,S22="difficult",7,S22="very difficult",10))</f>
        <v>4</v>
      </c>
      <c r="W22" s="8" cm="1">
        <f t="array" ref="W22">IF(T22="","",_xlfn.IFS(T22="poor",1,T22="acceptable",4,T22="good",7,T22="excellent",10))</f>
        <v>7</v>
      </c>
      <c r="X22" s="8">
        <f t="shared" si="0"/>
        <v>3</v>
      </c>
      <c r="Y22" s="8">
        <f t="shared" si="1"/>
        <v>0</v>
      </c>
      <c r="Z22" s="8">
        <f t="shared" si="2"/>
        <v>0</v>
      </c>
    </row>
    <row r="23" spans="1:26" x14ac:dyDescent="0.25">
      <c r="A23" s="9" t="s">
        <v>156</v>
      </c>
      <c r="B23" s="9" t="s">
        <v>157</v>
      </c>
      <c r="C23" s="9" t="str">
        <f>IF(D23="","",Overview!$B$1)</f>
        <v>ambr250</v>
      </c>
      <c r="D23" s="38" t="s">
        <v>75</v>
      </c>
      <c r="E23" s="38" t="s">
        <v>27</v>
      </c>
      <c r="F23" s="38" t="s">
        <v>24</v>
      </c>
      <c r="G23" s="10" t="s">
        <v>173</v>
      </c>
      <c r="H23" s="10" t="s">
        <v>24</v>
      </c>
      <c r="I23" s="10" t="s">
        <v>41</v>
      </c>
      <c r="J23" s="10" t="s">
        <v>40</v>
      </c>
      <c r="K23" s="10" t="s">
        <v>137</v>
      </c>
      <c r="L23" s="11" t="s">
        <v>138</v>
      </c>
      <c r="M23" s="36" t="s">
        <v>189</v>
      </c>
      <c r="N23" s="8" cm="1">
        <f t="array" ref="N23">IF(H23="","",_xlfn.IFS(H23="not used",1,H23="manual",4,H23="semi-automated",7,H23="automated",10))</f>
        <v>4</v>
      </c>
      <c r="O23" s="8" cm="1">
        <f t="array" ref="O23">IF(I23="","",_xlfn.IFS(I23="easy",1,I23="acceptable",4,I23="difficult",7,I23="very difficult",10))</f>
        <v>7</v>
      </c>
      <c r="P23" s="8" cm="1">
        <f t="array" ref="P23">IF(J23="","",_xlfn.IFS(J23="poor",1,J23="acceptable",4,J23="good",7,J23="excellent",10))</f>
        <v>4</v>
      </c>
      <c r="Q23" s="36" t="s">
        <v>133</v>
      </c>
      <c r="R23" s="40" t="s">
        <v>58</v>
      </c>
      <c r="S23" s="40" t="s">
        <v>37</v>
      </c>
      <c r="T23" s="40" t="s">
        <v>38</v>
      </c>
      <c r="U23" s="8" cm="1">
        <f t="array" ref="U23">IF(R23="","",_xlfn.IFS(R23="not used",1,R23="manual",4,R23="semi-automated",7,R23="automated",10))</f>
        <v>10</v>
      </c>
      <c r="V23" s="8" cm="1">
        <f t="array" ref="V23">IF(S23="","",_xlfn.IFS(S23="easy",1,S23="acceptable",4,S23="difficult",7,S23="very difficult",10))</f>
        <v>1</v>
      </c>
      <c r="W23" s="8" cm="1">
        <f t="array" ref="W23">IF(T23="","",_xlfn.IFS(T23="poor",1,T23="acceptable",4,T23="good",7,T23="excellent",10))</f>
        <v>10</v>
      </c>
      <c r="X23" s="8">
        <f t="shared" si="0"/>
        <v>6</v>
      </c>
      <c r="Y23" s="8">
        <f t="shared" si="1"/>
        <v>-6</v>
      </c>
      <c r="Z23" s="8">
        <f t="shared" si="2"/>
        <v>6</v>
      </c>
    </row>
    <row r="24" spans="1:26" x14ac:dyDescent="0.25">
      <c r="A24" s="9" t="s">
        <v>156</v>
      </c>
      <c r="B24" s="9" t="s">
        <v>157</v>
      </c>
      <c r="C24" s="9" t="str">
        <f>IF(D24="","",Overview!$B$1)</f>
        <v>ambr250</v>
      </c>
      <c r="D24" s="38" t="s">
        <v>70</v>
      </c>
      <c r="E24" s="38" t="s">
        <v>26</v>
      </c>
      <c r="F24" s="38" t="s">
        <v>24</v>
      </c>
      <c r="G24" s="10" t="s">
        <v>174</v>
      </c>
      <c r="H24" s="10" t="s">
        <v>24</v>
      </c>
      <c r="I24" s="10" t="s">
        <v>41</v>
      </c>
      <c r="J24" s="10" t="s">
        <v>40</v>
      </c>
      <c r="K24" s="10" t="s">
        <v>137</v>
      </c>
      <c r="L24" s="11" t="s">
        <v>44</v>
      </c>
      <c r="M24" s="36" t="s">
        <v>190</v>
      </c>
      <c r="N24" s="8" cm="1">
        <f t="array" ref="N24">IF(H24="","",_xlfn.IFS(H24="not used",1,H24="manual",4,H24="semi-automated",7,H24="automated",10))</f>
        <v>4</v>
      </c>
      <c r="O24" s="8" cm="1">
        <f t="array" ref="O24">IF(I24="","",_xlfn.IFS(I24="easy",1,I24="acceptable",4,I24="difficult",7,I24="very difficult",10))</f>
        <v>7</v>
      </c>
      <c r="P24" s="8" cm="1">
        <f t="array" ref="P24">IF(J24="","",_xlfn.IFS(J24="poor",1,J24="acceptable",4,J24="good",7,J24="excellent",10))</f>
        <v>4</v>
      </c>
      <c r="Q24" s="36" t="s">
        <v>133</v>
      </c>
      <c r="R24" s="40" t="s">
        <v>24</v>
      </c>
      <c r="S24" s="40" t="s">
        <v>37</v>
      </c>
      <c r="T24" s="40" t="s">
        <v>38</v>
      </c>
      <c r="U24" s="8" cm="1">
        <f t="array" ref="U24">IF(R24="","",_xlfn.IFS(R24="not used",1,R24="manual",4,R24="semi-automated",7,R24="automated",10))</f>
        <v>4</v>
      </c>
      <c r="V24" s="8" cm="1">
        <f t="array" ref="V24">IF(S24="","",_xlfn.IFS(S24="easy",1,S24="acceptable",4,S24="difficult",7,S24="very difficult",10))</f>
        <v>1</v>
      </c>
      <c r="W24" s="8" cm="1">
        <f t="array" ref="W24">IF(T24="","",_xlfn.IFS(T24="poor",1,T24="acceptable",4,T24="good",7,T24="excellent",10))</f>
        <v>10</v>
      </c>
      <c r="X24" s="8">
        <f t="shared" si="0"/>
        <v>0</v>
      </c>
      <c r="Y24" s="8">
        <f t="shared" si="1"/>
        <v>-6</v>
      </c>
      <c r="Z24" s="8">
        <f t="shared" si="2"/>
        <v>6</v>
      </c>
    </row>
    <row r="25" spans="1:26" x14ac:dyDescent="0.25">
      <c r="A25" s="9" t="s">
        <v>156</v>
      </c>
      <c r="B25" s="9" t="s">
        <v>157</v>
      </c>
      <c r="C25" s="9" t="str">
        <f>IF(D25="","",Overview!$B$1)</f>
        <v>ambr250</v>
      </c>
      <c r="D25" s="38" t="s">
        <v>71</v>
      </c>
      <c r="E25" s="38" t="s">
        <v>26</v>
      </c>
      <c r="F25" s="38" t="s">
        <v>24</v>
      </c>
      <c r="G25" s="10" t="s">
        <v>175</v>
      </c>
      <c r="H25" s="10" t="s">
        <v>24</v>
      </c>
      <c r="I25" s="10" t="s">
        <v>37</v>
      </c>
      <c r="J25" s="10" t="s">
        <v>38</v>
      </c>
      <c r="K25" s="10" t="s">
        <v>136</v>
      </c>
      <c r="L25" s="11" t="s">
        <v>39</v>
      </c>
      <c r="M25" s="36" t="s">
        <v>24</v>
      </c>
      <c r="N25" s="8" cm="1">
        <f t="array" ref="N25">IF(H25="","",_xlfn.IFS(H25="not used",1,H25="manual",4,H25="semi-automated",7,H25="automated",10))</f>
        <v>4</v>
      </c>
      <c r="O25" s="8" cm="1">
        <f t="array" ref="O25">IF(I25="","",_xlfn.IFS(I25="easy",1,I25="acceptable",4,I25="difficult",7,I25="very difficult",10))</f>
        <v>1</v>
      </c>
      <c r="P25" s="8" cm="1">
        <f t="array" ref="P25">IF(J25="","",_xlfn.IFS(J25="poor",1,J25="acceptable",4,J25="good",7,J25="excellent",10))</f>
        <v>10</v>
      </c>
      <c r="Q25" s="36" t="s">
        <v>134</v>
      </c>
      <c r="R25" s="40" t="s">
        <v>24</v>
      </c>
      <c r="S25" s="40" t="s">
        <v>37</v>
      </c>
      <c r="T25" s="40" t="s">
        <v>38</v>
      </c>
      <c r="U25" s="8" cm="1">
        <f t="array" ref="U25">IF(R25="","",_xlfn.IFS(R25="not used",1,R25="manual",4,R25="semi-automated",7,R25="automated",10))</f>
        <v>4</v>
      </c>
      <c r="V25" s="8" cm="1">
        <f t="array" ref="V25">IF(S25="","",_xlfn.IFS(S25="easy",1,S25="acceptable",4,S25="difficult",7,S25="very difficult",10))</f>
        <v>1</v>
      </c>
      <c r="W25" s="8" cm="1">
        <f t="array" ref="W25">IF(T25="","",_xlfn.IFS(T25="poor",1,T25="acceptable",4,T25="good",7,T25="excellent",10))</f>
        <v>10</v>
      </c>
      <c r="X25" s="8">
        <f t="shared" si="0"/>
        <v>0</v>
      </c>
      <c r="Y25" s="8">
        <f t="shared" si="1"/>
        <v>0</v>
      </c>
      <c r="Z25" s="8">
        <f t="shared" si="2"/>
        <v>0</v>
      </c>
    </row>
    <row r="26" spans="1:26" x14ac:dyDescent="0.25">
      <c r="A26" s="9" t="s">
        <v>156</v>
      </c>
      <c r="B26" s="9" t="s">
        <v>157</v>
      </c>
      <c r="C26" s="9" t="str">
        <f>IF(D26="","",Overview!$B$1)</f>
        <v>ambr250</v>
      </c>
      <c r="D26" s="38" t="s">
        <v>72</v>
      </c>
      <c r="E26" s="38" t="s">
        <v>26</v>
      </c>
      <c r="F26" s="38" t="s">
        <v>24</v>
      </c>
      <c r="G26" s="10" t="s">
        <v>176</v>
      </c>
      <c r="H26" s="10" t="s">
        <v>24</v>
      </c>
      <c r="I26" s="10" t="s">
        <v>37</v>
      </c>
      <c r="J26" s="10" t="s">
        <v>40</v>
      </c>
      <c r="K26" s="10" t="s">
        <v>137</v>
      </c>
      <c r="L26" s="11" t="s">
        <v>44</v>
      </c>
      <c r="M26" s="36" t="s">
        <v>190</v>
      </c>
      <c r="N26" s="8" cm="1">
        <f t="array" ref="N26">IF(H26="","",_xlfn.IFS(H26="not used",1,H26="manual",4,H26="semi-automated",7,H26="automated",10))</f>
        <v>4</v>
      </c>
      <c r="O26" s="8" cm="1">
        <f t="array" ref="O26">IF(I26="","",_xlfn.IFS(I26="easy",1,I26="acceptable",4,I26="difficult",7,I26="very difficult",10))</f>
        <v>1</v>
      </c>
      <c r="P26" s="8" cm="1">
        <f t="array" ref="P26">IF(J26="","",_xlfn.IFS(J26="poor",1,J26="acceptable",4,J26="good",7,J26="excellent",10))</f>
        <v>4</v>
      </c>
      <c r="Q26" s="36" t="s">
        <v>133</v>
      </c>
      <c r="R26" s="40" t="s">
        <v>24</v>
      </c>
      <c r="S26" s="40" t="s">
        <v>37</v>
      </c>
      <c r="T26" s="40" t="s">
        <v>38</v>
      </c>
      <c r="U26" s="8" cm="1">
        <f t="array" ref="U26">IF(R26="","",_xlfn.IFS(R26="not used",1,R26="manual",4,R26="semi-automated",7,R26="automated",10))</f>
        <v>4</v>
      </c>
      <c r="V26" s="8" cm="1">
        <f t="array" ref="V26">IF(S26="","",_xlfn.IFS(S26="easy",1,S26="acceptable",4,S26="difficult",7,S26="very difficult",10))</f>
        <v>1</v>
      </c>
      <c r="W26" s="8" cm="1">
        <f t="array" ref="W26">IF(T26="","",_xlfn.IFS(T26="poor",1,T26="acceptable",4,T26="good",7,T26="excellent",10))</f>
        <v>10</v>
      </c>
      <c r="X26" s="8">
        <f t="shared" si="0"/>
        <v>0</v>
      </c>
      <c r="Y26" s="8">
        <f t="shared" si="1"/>
        <v>0</v>
      </c>
      <c r="Z26" s="8">
        <f t="shared" si="2"/>
        <v>6</v>
      </c>
    </row>
    <row r="27" spans="1:26" x14ac:dyDescent="0.25">
      <c r="A27" s="9" t="s">
        <v>156</v>
      </c>
      <c r="B27" s="9" t="s">
        <v>157</v>
      </c>
      <c r="C27" s="9" t="str">
        <f>IF(D27="","",Overview!$B$1)</f>
        <v>ambr250</v>
      </c>
      <c r="D27" s="38" t="s">
        <v>73</v>
      </c>
      <c r="E27" s="38" t="s">
        <v>26</v>
      </c>
      <c r="F27" s="38" t="s">
        <v>24</v>
      </c>
      <c r="G27" s="10" t="s">
        <v>177</v>
      </c>
      <c r="H27" s="10" t="s">
        <v>42</v>
      </c>
      <c r="I27" s="10" t="s">
        <v>40</v>
      </c>
      <c r="J27" s="10" t="s">
        <v>48</v>
      </c>
      <c r="K27" s="10" t="s">
        <v>136</v>
      </c>
      <c r="L27" s="11" t="s">
        <v>44</v>
      </c>
      <c r="M27" s="36" t="s">
        <v>190</v>
      </c>
      <c r="N27" s="8" cm="1">
        <f t="array" ref="N27">IF(H27="","",_xlfn.IFS(H27="not used",1,H27="manual",4,H27="semi-automated",7,H27="automated",10))</f>
        <v>1</v>
      </c>
      <c r="O27" s="8" cm="1">
        <f t="array" ref="O27">IF(I27="","",_xlfn.IFS(I27="easy",1,I27="acceptable",4,I27="difficult",7,I27="very difficult",10))</f>
        <v>4</v>
      </c>
      <c r="P27" s="8" cm="1">
        <f t="array" ref="P27">IF(J27="","",_xlfn.IFS(J27="poor",1,J27="acceptable",4,J27="good",7,J27="excellent",10))</f>
        <v>1</v>
      </c>
      <c r="Q27" s="36" t="s">
        <v>133</v>
      </c>
      <c r="R27" s="40" t="s">
        <v>24</v>
      </c>
      <c r="S27" s="40" t="s">
        <v>37</v>
      </c>
      <c r="T27" s="40" t="s">
        <v>38</v>
      </c>
      <c r="U27" s="8" cm="1">
        <f t="array" ref="U27">IF(R27="","",_xlfn.IFS(R27="not used",1,R27="manual",4,R27="semi-automated",7,R27="automated",10))</f>
        <v>4</v>
      </c>
      <c r="V27" s="8" cm="1">
        <f t="array" ref="V27">IF(S27="","",_xlfn.IFS(S27="easy",1,S27="acceptable",4,S27="difficult",7,S27="very difficult",10))</f>
        <v>1</v>
      </c>
      <c r="W27" s="8" cm="1">
        <f t="array" ref="W27">IF(T27="","",_xlfn.IFS(T27="poor",1,T27="acceptable",4,T27="good",7,T27="excellent",10))</f>
        <v>10</v>
      </c>
      <c r="X27" s="8">
        <f t="shared" si="0"/>
        <v>3</v>
      </c>
      <c r="Y27" s="8">
        <f t="shared" si="1"/>
        <v>-3</v>
      </c>
      <c r="Z27" s="8">
        <f t="shared" si="2"/>
        <v>9</v>
      </c>
    </row>
    <row r="28" spans="1:26" x14ac:dyDescent="0.25">
      <c r="A28" s="9" t="s">
        <v>156</v>
      </c>
      <c r="B28" s="9" t="s">
        <v>157</v>
      </c>
      <c r="C28" s="9" t="str">
        <f>IF(D28="","",Overview!$B$1)</f>
        <v>ambr250</v>
      </c>
      <c r="D28" s="38" t="s">
        <v>74</v>
      </c>
      <c r="E28" s="38" t="s">
        <v>26</v>
      </c>
      <c r="F28" s="38" t="s">
        <v>24</v>
      </c>
      <c r="G28" s="10" t="s">
        <v>178</v>
      </c>
      <c r="H28" s="10" t="s">
        <v>42</v>
      </c>
      <c r="I28" s="10" t="s">
        <v>41</v>
      </c>
      <c r="J28" s="10" t="s">
        <v>38</v>
      </c>
      <c r="K28" s="10" t="s">
        <v>136</v>
      </c>
      <c r="L28" s="11" t="s">
        <v>44</v>
      </c>
      <c r="M28" s="36" t="s">
        <v>190</v>
      </c>
      <c r="N28" s="8" cm="1">
        <f t="array" ref="N28">IF(H28="","",_xlfn.IFS(H28="not used",1,H28="manual",4,H28="semi-automated",7,H28="automated",10))</f>
        <v>1</v>
      </c>
      <c r="O28" s="8" cm="1">
        <f t="array" ref="O28">IF(I28="","",_xlfn.IFS(I28="easy",1,I28="acceptable",4,I28="difficult",7,I28="very difficult",10))</f>
        <v>7</v>
      </c>
      <c r="P28" s="8" cm="1">
        <f t="array" ref="P28">IF(J28="","",_xlfn.IFS(J28="poor",1,J28="acceptable",4,J28="good",7,J28="excellent",10))</f>
        <v>10</v>
      </c>
      <c r="Q28" s="36" t="s">
        <v>133</v>
      </c>
      <c r="R28" s="40" t="s">
        <v>24</v>
      </c>
      <c r="S28" s="40" t="s">
        <v>37</v>
      </c>
      <c r="T28" s="40" t="s">
        <v>38</v>
      </c>
      <c r="U28" s="8" cm="1">
        <f t="array" ref="U28">IF(R28="","",_xlfn.IFS(R28="not used",1,R28="manual",4,R28="semi-automated",7,R28="automated",10))</f>
        <v>4</v>
      </c>
      <c r="V28" s="8" cm="1">
        <f t="array" ref="V28">IF(S28="","",_xlfn.IFS(S28="easy",1,S28="acceptable",4,S28="difficult",7,S28="very difficult",10))</f>
        <v>1</v>
      </c>
      <c r="W28" s="8" cm="1">
        <f t="array" ref="W28">IF(T28="","",_xlfn.IFS(T28="poor",1,T28="acceptable",4,T28="good",7,T28="excellent",10))</f>
        <v>10</v>
      </c>
      <c r="X28" s="8">
        <f t="shared" si="0"/>
        <v>3</v>
      </c>
      <c r="Y28" s="8">
        <f t="shared" si="1"/>
        <v>-6</v>
      </c>
      <c r="Z28" s="8">
        <f t="shared" si="2"/>
        <v>0</v>
      </c>
    </row>
    <row r="29" spans="1:26" x14ac:dyDescent="0.25">
      <c r="A29" s="9" t="s">
        <v>156</v>
      </c>
      <c r="B29" s="9" t="s">
        <v>157</v>
      </c>
      <c r="C29" s="9" t="str">
        <f>IF(D29="","",Overview!$B$1)</f>
        <v>ambr250</v>
      </c>
      <c r="D29" s="38" t="s">
        <v>80</v>
      </c>
      <c r="E29" s="38" t="s">
        <v>26</v>
      </c>
      <c r="F29" s="38" t="s">
        <v>24</v>
      </c>
      <c r="G29" s="10" t="s">
        <v>179</v>
      </c>
      <c r="H29" s="10" t="s">
        <v>24</v>
      </c>
      <c r="I29" s="10" t="s">
        <v>37</v>
      </c>
      <c r="J29" s="10" t="s">
        <v>38</v>
      </c>
      <c r="K29" s="10" t="s">
        <v>137</v>
      </c>
      <c r="L29" s="11" t="s">
        <v>39</v>
      </c>
      <c r="M29" s="36" t="s">
        <v>65</v>
      </c>
      <c r="N29" s="8" cm="1">
        <f t="array" ref="N29">IF(H29="","",_xlfn.IFS(H29="not used",1,H29="manual",4,H29="semi-automated",7,H29="automated",10))</f>
        <v>4</v>
      </c>
      <c r="O29" s="8" cm="1">
        <f t="array" ref="O29">IF(I29="","",_xlfn.IFS(I29="easy",1,I29="acceptable",4,I29="difficult",7,I29="very difficult",10))</f>
        <v>1</v>
      </c>
      <c r="P29" s="8" cm="1">
        <f t="array" ref="P29">IF(J29="","",_xlfn.IFS(J29="poor",1,J29="acceptable",4,J29="good",7,J29="excellent",10))</f>
        <v>10</v>
      </c>
      <c r="Q29" s="36" t="s">
        <v>134</v>
      </c>
      <c r="R29" s="40" t="s">
        <v>24</v>
      </c>
      <c r="S29" s="40" t="s">
        <v>37</v>
      </c>
      <c r="T29" s="40" t="s">
        <v>38</v>
      </c>
      <c r="U29" s="8" cm="1">
        <f t="array" ref="U29">IF(R29="","",_xlfn.IFS(R29="not used",1,R29="manual",4,R29="semi-automated",7,R29="automated",10))</f>
        <v>4</v>
      </c>
      <c r="V29" s="8" cm="1">
        <f t="array" ref="V29">IF(S29="","",_xlfn.IFS(S29="easy",1,S29="acceptable",4,S29="difficult",7,S29="very difficult",10))</f>
        <v>1</v>
      </c>
      <c r="W29" s="8" cm="1">
        <f t="array" ref="W29">IF(T29="","",_xlfn.IFS(T29="poor",1,T29="acceptable",4,T29="good",7,T29="excellent",10))</f>
        <v>10</v>
      </c>
      <c r="X29" s="8">
        <f t="shared" si="0"/>
        <v>0</v>
      </c>
      <c r="Y29" s="8">
        <f t="shared" si="1"/>
        <v>0</v>
      </c>
      <c r="Z29" s="8">
        <f t="shared" si="2"/>
        <v>0</v>
      </c>
    </row>
    <row r="30" spans="1:26" x14ac:dyDescent="0.25">
      <c r="A30" s="9" t="s">
        <v>156</v>
      </c>
      <c r="B30" s="9" t="s">
        <v>157</v>
      </c>
      <c r="C30" s="9" t="str">
        <f>IF(D30="","",Overview!$B$1)</f>
        <v>ambr250</v>
      </c>
      <c r="D30" s="38" t="s">
        <v>85</v>
      </c>
      <c r="E30" s="38" t="s">
        <v>26</v>
      </c>
      <c r="F30" s="38" t="s">
        <v>24</v>
      </c>
      <c r="G30" s="10" t="s">
        <v>180</v>
      </c>
      <c r="H30" s="10" t="s">
        <v>24</v>
      </c>
      <c r="I30" s="10" t="s">
        <v>41</v>
      </c>
      <c r="J30" s="10" t="s">
        <v>40</v>
      </c>
      <c r="K30" s="10" t="s">
        <v>137</v>
      </c>
      <c r="L30" s="11" t="s">
        <v>44</v>
      </c>
      <c r="M30" s="36" t="s">
        <v>191</v>
      </c>
      <c r="N30" s="8" cm="1">
        <f t="array" ref="N30">IF(H30="","",_xlfn.IFS(H30="not used",1,H30="manual",4,H30="semi-automated",7,H30="automated",10))</f>
        <v>4</v>
      </c>
      <c r="O30" s="8" cm="1">
        <f t="array" ref="O30">IF(I30="","",_xlfn.IFS(I30="easy",1,I30="acceptable",4,I30="difficult",7,I30="very difficult",10))</f>
        <v>7</v>
      </c>
      <c r="P30" s="8" cm="1">
        <f t="array" ref="P30">IF(J30="","",_xlfn.IFS(J30="poor",1,J30="acceptable",4,J30="good",7,J30="excellent",10))</f>
        <v>4</v>
      </c>
      <c r="Q30" s="36" t="s">
        <v>133</v>
      </c>
      <c r="R30" s="40" t="s">
        <v>46</v>
      </c>
      <c r="S30" s="40" t="s">
        <v>40</v>
      </c>
      <c r="T30" s="40" t="s">
        <v>38</v>
      </c>
      <c r="U30" s="8" cm="1">
        <f t="array" ref="U30">IF(R30="","",_xlfn.IFS(R30="not used",1,R30="manual",4,R30="semi-automated",7,R30="automated",10))</f>
        <v>7</v>
      </c>
      <c r="V30" s="8" cm="1">
        <f t="array" ref="V30">IF(S30="","",_xlfn.IFS(S30="easy",1,S30="acceptable",4,S30="difficult",7,S30="very difficult",10))</f>
        <v>4</v>
      </c>
      <c r="W30" s="8" cm="1">
        <f t="array" ref="W30">IF(T30="","",_xlfn.IFS(T30="poor",1,T30="acceptable",4,T30="good",7,T30="excellent",10))</f>
        <v>10</v>
      </c>
      <c r="X30" s="8">
        <f t="shared" si="0"/>
        <v>3</v>
      </c>
      <c r="Y30" s="8">
        <f t="shared" si="1"/>
        <v>-3</v>
      </c>
      <c r="Z30" s="8">
        <f t="shared" si="2"/>
        <v>6</v>
      </c>
    </row>
    <row r="31" spans="1:26" x14ac:dyDescent="0.25">
      <c r="A31" s="9" t="s">
        <v>156</v>
      </c>
      <c r="B31" s="9" t="s">
        <v>157</v>
      </c>
      <c r="C31" s="9" t="str">
        <f>IF(D31="","",Overview!$B$1)</f>
        <v>ambr250</v>
      </c>
      <c r="D31" s="38" t="s">
        <v>95</v>
      </c>
      <c r="E31" s="38" t="s">
        <v>26</v>
      </c>
      <c r="F31" s="38" t="s">
        <v>24</v>
      </c>
      <c r="G31" s="10" t="s">
        <v>181</v>
      </c>
      <c r="H31" s="10" t="s">
        <v>24</v>
      </c>
      <c r="I31" s="10" t="s">
        <v>37</v>
      </c>
      <c r="J31" s="10" t="s">
        <v>45</v>
      </c>
      <c r="K31" s="10" t="s">
        <v>136</v>
      </c>
      <c r="L31" s="11" t="s">
        <v>39</v>
      </c>
      <c r="M31" s="36" t="s">
        <v>24</v>
      </c>
      <c r="N31" s="8" cm="1">
        <f t="array" ref="N31">IF(H31="","",_xlfn.IFS(H31="not used",1,H31="manual",4,H31="semi-automated",7,H31="automated",10))</f>
        <v>4</v>
      </c>
      <c r="O31" s="8" cm="1">
        <f t="array" ref="O31">IF(I31="","",_xlfn.IFS(I31="easy",1,I31="acceptable",4,I31="difficult",7,I31="very difficult",10))</f>
        <v>1</v>
      </c>
      <c r="P31" s="8" cm="1">
        <f t="array" ref="P31">IF(J31="","",_xlfn.IFS(J31="poor",1,J31="acceptable",4,J31="good",7,J31="excellent",10))</f>
        <v>7</v>
      </c>
      <c r="Q31" s="36" t="s">
        <v>134</v>
      </c>
      <c r="R31" s="40" t="s">
        <v>24</v>
      </c>
      <c r="S31" s="40" t="s">
        <v>37</v>
      </c>
      <c r="T31" s="40" t="s">
        <v>45</v>
      </c>
      <c r="U31" s="8" cm="1">
        <f t="array" ref="U31">IF(R31="","",_xlfn.IFS(R31="not used",1,R31="manual",4,R31="semi-automated",7,R31="automated",10))</f>
        <v>4</v>
      </c>
      <c r="V31" s="8" cm="1">
        <f t="array" ref="V31">IF(S31="","",_xlfn.IFS(S31="easy",1,S31="acceptable",4,S31="difficult",7,S31="very difficult",10))</f>
        <v>1</v>
      </c>
      <c r="W31" s="8" cm="1">
        <f t="array" ref="W31">IF(T31="","",_xlfn.IFS(T31="poor",1,T31="acceptable",4,T31="good",7,T31="excellent",10))</f>
        <v>7</v>
      </c>
      <c r="X31" s="8">
        <f t="shared" si="0"/>
        <v>0</v>
      </c>
      <c r="Y31" s="8">
        <f t="shared" si="1"/>
        <v>0</v>
      </c>
      <c r="Z31" s="8">
        <f t="shared" si="2"/>
        <v>0</v>
      </c>
    </row>
    <row r="32" spans="1:26" x14ac:dyDescent="0.25">
      <c r="A32" s="9" t="s">
        <v>156</v>
      </c>
      <c r="B32" s="9" t="s">
        <v>157</v>
      </c>
      <c r="C32" s="9" t="str">
        <f>IF(D32="","",Overview!$B$1)</f>
        <v>ambr250</v>
      </c>
      <c r="D32" s="38" t="s">
        <v>81</v>
      </c>
      <c r="E32" s="38" t="s">
        <v>153</v>
      </c>
      <c r="F32" s="38" t="s">
        <v>29</v>
      </c>
      <c r="G32" s="10" t="s">
        <v>182</v>
      </c>
      <c r="H32" s="10" t="s">
        <v>46</v>
      </c>
      <c r="I32" s="10" t="s">
        <v>37</v>
      </c>
      <c r="J32" s="10" t="s">
        <v>38</v>
      </c>
      <c r="K32" s="10" t="s">
        <v>137</v>
      </c>
      <c r="L32" s="11" t="s">
        <v>138</v>
      </c>
      <c r="M32" s="36" t="s">
        <v>192</v>
      </c>
      <c r="N32" s="8" cm="1">
        <f t="array" ref="N32">IF(H32="","",_xlfn.IFS(H32="not used",1,H32="manual",4,H32="semi-automated",7,H32="automated",10))</f>
        <v>7</v>
      </c>
      <c r="O32" s="8" cm="1">
        <f t="array" ref="O32">IF(I32="","",_xlfn.IFS(I32="easy",1,I32="acceptable",4,I32="difficult",7,I32="very difficult",10))</f>
        <v>1</v>
      </c>
      <c r="P32" s="8" cm="1">
        <f t="array" ref="P32">IF(J32="","",_xlfn.IFS(J32="poor",1,J32="acceptable",4,J32="good",7,J32="excellent",10))</f>
        <v>10</v>
      </c>
      <c r="Q32" s="36" t="s">
        <v>133</v>
      </c>
      <c r="R32" s="40" t="s">
        <v>58</v>
      </c>
      <c r="S32" s="40" t="s">
        <v>37</v>
      </c>
      <c r="T32" s="40" t="s">
        <v>38</v>
      </c>
      <c r="U32" s="8" cm="1">
        <f t="array" ref="U32">IF(R32="","",_xlfn.IFS(R32="not used",1,R32="manual",4,R32="semi-automated",7,R32="automated",10))</f>
        <v>10</v>
      </c>
      <c r="V32" s="8" cm="1">
        <f t="array" ref="V32">IF(S32="","",_xlfn.IFS(S32="easy",1,S32="acceptable",4,S32="difficult",7,S32="very difficult",10))</f>
        <v>1</v>
      </c>
      <c r="W32" s="8" cm="1">
        <f t="array" ref="W32">IF(T32="","",_xlfn.IFS(T32="poor",1,T32="acceptable",4,T32="good",7,T32="excellent",10))</f>
        <v>10</v>
      </c>
      <c r="X32" s="8">
        <f t="shared" si="0"/>
        <v>3</v>
      </c>
      <c r="Y32" s="8">
        <f t="shared" si="1"/>
        <v>0</v>
      </c>
      <c r="Z32" s="8">
        <f t="shared" si="2"/>
        <v>0</v>
      </c>
    </row>
    <row r="33" spans="1:26" x14ac:dyDescent="0.25">
      <c r="A33" s="9" t="s">
        <v>156</v>
      </c>
      <c r="B33" s="9" t="s">
        <v>157</v>
      </c>
      <c r="C33" s="9" t="str">
        <f>IF(D33="","",Overview!$B$1)</f>
        <v>ambr250</v>
      </c>
      <c r="D33" s="38" t="s">
        <v>82</v>
      </c>
      <c r="E33" s="38" t="s">
        <v>152</v>
      </c>
      <c r="F33" s="38" t="s">
        <v>29</v>
      </c>
      <c r="G33" s="10" t="s">
        <v>161</v>
      </c>
      <c r="H33" s="10" t="s">
        <v>46</v>
      </c>
      <c r="I33" s="10" t="s">
        <v>40</v>
      </c>
      <c r="J33" s="10" t="s">
        <v>45</v>
      </c>
      <c r="K33" s="10" t="s">
        <v>137</v>
      </c>
      <c r="L33" s="11" t="s">
        <v>138</v>
      </c>
      <c r="M33" s="36" t="s">
        <v>193</v>
      </c>
      <c r="N33" s="8" cm="1">
        <f t="array" ref="N33">IF(H33="","",_xlfn.IFS(H33="not used",1,H33="manual",4,H33="semi-automated",7,H33="automated",10))</f>
        <v>7</v>
      </c>
      <c r="O33" s="8" cm="1">
        <f t="array" ref="O33">IF(I33="","",_xlfn.IFS(I33="easy",1,I33="acceptable",4,I33="difficult",7,I33="very difficult",10))</f>
        <v>4</v>
      </c>
      <c r="P33" s="8" cm="1">
        <f t="array" ref="P33">IF(J33="","",_xlfn.IFS(J33="poor",1,J33="acceptable",4,J33="good",7,J33="excellent",10))</f>
        <v>7</v>
      </c>
      <c r="Q33" s="36" t="s">
        <v>133</v>
      </c>
      <c r="R33" s="40" t="s">
        <v>46</v>
      </c>
      <c r="S33" s="40" t="s">
        <v>37</v>
      </c>
      <c r="T33" s="40" t="s">
        <v>38</v>
      </c>
      <c r="U33" s="8" cm="1">
        <f t="array" ref="U33">IF(R33="","",_xlfn.IFS(R33="not used",1,R33="manual",4,R33="semi-automated",7,R33="automated",10))</f>
        <v>7</v>
      </c>
      <c r="V33" s="8" cm="1">
        <f t="array" ref="V33">IF(S33="","",_xlfn.IFS(S33="easy",1,S33="acceptable",4,S33="difficult",7,S33="very difficult",10))</f>
        <v>1</v>
      </c>
      <c r="W33" s="8" cm="1">
        <f t="array" ref="W33">IF(T33="","",_xlfn.IFS(T33="poor",1,T33="acceptable",4,T33="good",7,T33="excellent",10))</f>
        <v>10</v>
      </c>
      <c r="X33" s="8">
        <f t="shared" si="0"/>
        <v>0</v>
      </c>
      <c r="Y33" s="8">
        <f t="shared" si="1"/>
        <v>-3</v>
      </c>
      <c r="Z33" s="8">
        <f t="shared" si="2"/>
        <v>3</v>
      </c>
    </row>
    <row r="34" spans="1:26" x14ac:dyDescent="0.25">
      <c r="A34" s="9" t="s">
        <v>156</v>
      </c>
      <c r="B34" s="9" t="s">
        <v>157</v>
      </c>
      <c r="C34" s="9" t="str">
        <f>IF(D34="","",Overview!$B$1)</f>
        <v>ambr250</v>
      </c>
      <c r="D34" s="38" t="s">
        <v>81</v>
      </c>
      <c r="E34" s="38" t="s">
        <v>194</v>
      </c>
      <c r="F34" s="38" t="s">
        <v>29</v>
      </c>
      <c r="G34" s="10" t="s">
        <v>182</v>
      </c>
      <c r="H34" s="10" t="s">
        <v>46</v>
      </c>
      <c r="I34" s="10" t="s">
        <v>37</v>
      </c>
      <c r="J34" s="10" t="s">
        <v>38</v>
      </c>
      <c r="K34" s="10" t="s">
        <v>137</v>
      </c>
      <c r="L34" s="11" t="s">
        <v>138</v>
      </c>
      <c r="M34" s="36" t="s">
        <v>195</v>
      </c>
      <c r="N34" s="8" cm="1">
        <f t="array" ref="N34">IF(H34="","",_xlfn.IFS(H34="not used",1,H34="manual",4,H34="semi-automated",7,H34="automated",10))</f>
        <v>7</v>
      </c>
      <c r="O34" s="8" cm="1">
        <f t="array" ref="O34">IF(I34="","",_xlfn.IFS(I34="easy",1,I34="acceptable",4,I34="difficult",7,I34="very difficult",10))</f>
        <v>1</v>
      </c>
      <c r="P34" s="8" cm="1">
        <f t="array" ref="P34">IF(J34="","",_xlfn.IFS(J34="poor",1,J34="acceptable",4,J34="good",7,J34="excellent",10))</f>
        <v>10</v>
      </c>
      <c r="Q34" s="36" t="s">
        <v>133</v>
      </c>
      <c r="R34" s="40" t="s">
        <v>58</v>
      </c>
      <c r="S34" s="40" t="s">
        <v>37</v>
      </c>
      <c r="T34" s="40" t="s">
        <v>38</v>
      </c>
      <c r="U34" s="8" cm="1">
        <f t="array" ref="U34">IF(R34="","",_xlfn.IFS(R34="not used",1,R34="manual",4,R34="semi-automated",7,R34="automated",10))</f>
        <v>10</v>
      </c>
      <c r="V34" s="8" cm="1">
        <f t="array" ref="V34">IF(S34="","",_xlfn.IFS(S34="easy",1,S34="acceptable",4,S34="difficult",7,S34="very difficult",10))</f>
        <v>1</v>
      </c>
      <c r="W34" s="8" cm="1">
        <f t="array" ref="W34">IF(T34="","",_xlfn.IFS(T34="poor",1,T34="acceptable",4,T34="good",7,T34="excellent",10))</f>
        <v>10</v>
      </c>
      <c r="X34" s="8">
        <f t="shared" ref="X34:X35" si="3">IF(U34="","",(U34-N34))</f>
        <v>3</v>
      </c>
      <c r="Y34" s="8">
        <f t="shared" ref="Y34:Y35" si="4">IF(V34="","",V34-O34)</f>
        <v>0</v>
      </c>
      <c r="Z34" s="8">
        <f t="shared" ref="Z34:Z35" si="5">IF(W34="","",(W34-P34))</f>
        <v>0</v>
      </c>
    </row>
    <row r="35" spans="1:26" x14ac:dyDescent="0.25">
      <c r="A35" s="9" t="s">
        <v>156</v>
      </c>
      <c r="B35" s="9" t="s">
        <v>157</v>
      </c>
      <c r="C35" s="9" t="str">
        <f>IF(D35="","",Overview!$B$1)</f>
        <v>ambr250</v>
      </c>
      <c r="D35" s="38" t="s">
        <v>196</v>
      </c>
      <c r="E35" s="38" t="s">
        <v>26</v>
      </c>
      <c r="F35" s="38" t="s">
        <v>24</v>
      </c>
      <c r="G35" s="10" t="s">
        <v>208</v>
      </c>
      <c r="H35" s="10" t="s">
        <v>24</v>
      </c>
      <c r="I35" s="10" t="s">
        <v>40</v>
      </c>
      <c r="J35" s="10" t="s">
        <v>40</v>
      </c>
      <c r="K35" s="10" t="s">
        <v>137</v>
      </c>
      <c r="L35" s="11" t="s">
        <v>138</v>
      </c>
      <c r="M35" s="36" t="s">
        <v>197</v>
      </c>
      <c r="N35" s="8" cm="1">
        <f t="array" ref="N35">IF(H35="","",_xlfn.IFS(H35="not used",1,H35="manual",4,H35="semi-automated",7,H35="automated",10))</f>
        <v>4</v>
      </c>
      <c r="O35" s="8" cm="1">
        <f t="array" ref="O35">IF(I35="","",_xlfn.IFS(I35="easy",1,I35="acceptable",4,I35="difficult",7,I35="very difficult",10))</f>
        <v>4</v>
      </c>
      <c r="P35" s="8" cm="1">
        <f t="array" ref="P35">IF(J35="","",_xlfn.IFS(J35="poor",1,J35="acceptable",4,J35="good",7,J35="excellent",10))</f>
        <v>4</v>
      </c>
      <c r="Q35" s="36" t="s">
        <v>133</v>
      </c>
      <c r="R35" s="40" t="s">
        <v>46</v>
      </c>
      <c r="S35" s="40" t="s">
        <v>37</v>
      </c>
      <c r="T35" s="40" t="s">
        <v>38</v>
      </c>
      <c r="U35" s="8" cm="1">
        <f t="array" ref="U35">IF(R35="","",_xlfn.IFS(R35="not used",1,R35="manual",4,R35="semi-automated",7,R35="automated",10))</f>
        <v>7</v>
      </c>
      <c r="V35" s="8" cm="1">
        <f t="array" ref="V35">IF(S35="","",_xlfn.IFS(S35="easy",1,S35="acceptable",4,S35="difficult",7,S35="very difficult",10))</f>
        <v>1</v>
      </c>
      <c r="W35" s="8" cm="1">
        <f t="array" ref="W35">IF(T35="","",_xlfn.IFS(T35="poor",1,T35="acceptable",4,T35="good",7,T35="excellent",10))</f>
        <v>10</v>
      </c>
      <c r="X35" s="8">
        <f t="shared" si="3"/>
        <v>3</v>
      </c>
      <c r="Y35" s="8">
        <f t="shared" si="4"/>
        <v>-3</v>
      </c>
      <c r="Z35" s="8">
        <f t="shared" si="5"/>
        <v>6</v>
      </c>
    </row>
    <row r="36" spans="1:26" ht="18.75" customHeight="1" x14ac:dyDescent="0.25">
      <c r="A36" s="9"/>
      <c r="B36" s="9"/>
      <c r="C36" s="9" t="str">
        <f>IF(D36="","",Overview!$B$1)</f>
        <v/>
      </c>
      <c r="D36" s="38"/>
      <c r="E36" s="38"/>
      <c r="F36" s="38"/>
      <c r="G36" s="10"/>
      <c r="H36" s="10"/>
      <c r="I36" s="10"/>
      <c r="J36" s="10"/>
      <c r="K36" s="10"/>
      <c r="L36" s="11"/>
      <c r="M36" s="11"/>
      <c r="N36" s="8" t="str" cm="1">
        <f t="array" ref="N36">IF(H36="","",_xlfn.IFS(H36="not used",1,H36="manual",4,H36="semi-automated",7,H36="automated",10))</f>
        <v/>
      </c>
      <c r="O36" s="8" t="str" cm="1">
        <f t="array" ref="O36">IF(I36="","",_xlfn.IFS(I36="easy",1,I36="acceptable",4,I36="difficult",7,I36="very difficult",10))</f>
        <v/>
      </c>
      <c r="P36" s="8" t="str" cm="1">
        <f t="array" ref="P36">IF(J36="","",_xlfn.IFS(J36="poor",1,J36="acceptable",4,J36="good",7,J36="excellent",10))</f>
        <v/>
      </c>
      <c r="Q36" s="36"/>
      <c r="R36" s="40"/>
      <c r="S36" s="40"/>
      <c r="T36" s="40"/>
      <c r="U36" s="8" t="str" cm="1">
        <f t="array" ref="U36">IF(R36="","",_xlfn.IFS(R36="not used",1,R36="manual",4,R36="semi-automated",7,R36="automated",10))</f>
        <v/>
      </c>
      <c r="V36" s="8" t="str" cm="1">
        <f t="array" ref="V36">IF(S36="","",_xlfn.IFS(S36="easy",1,S36="acceptable",4,S36="difficult",7,S36="very difficult",10))</f>
        <v/>
      </c>
      <c r="W36" s="8" t="str" cm="1">
        <f t="array" ref="W36">IF(T36="","",_xlfn.IFS(T36="poor",1,T36="acceptable",4,T36="good",7,T36="excellent",10))</f>
        <v/>
      </c>
      <c r="X36" s="8" t="str">
        <f t="shared" ref="X36:X50" si="6">IF(U36="","",(U36-N36))</f>
        <v/>
      </c>
      <c r="Y36" s="8" t="str">
        <f t="shared" ref="Y36:Y50" si="7">IF(V36="","",V36-O36)</f>
        <v/>
      </c>
      <c r="Z36" s="8" t="str">
        <f t="shared" ref="Z36:Z50" si="8">IF(W36="","",(W36-P36))</f>
        <v/>
      </c>
    </row>
    <row r="37" spans="1:26" x14ac:dyDescent="0.25">
      <c r="A37" s="9"/>
      <c r="B37" s="9"/>
      <c r="C37" s="9" t="str">
        <f>IF(D37="","",Overview!$B$1)</f>
        <v/>
      </c>
      <c r="D37" s="38"/>
      <c r="E37" s="38"/>
      <c r="F37" s="38"/>
      <c r="G37" s="10"/>
      <c r="H37" s="10"/>
      <c r="I37" s="10"/>
      <c r="J37" s="10"/>
      <c r="K37" s="10"/>
      <c r="L37" s="11"/>
      <c r="M37" s="11"/>
      <c r="N37" s="8" t="str" cm="1">
        <f t="array" ref="N37">IF(H37="","",_xlfn.IFS(H37="not used",1,H37="manual",4,H37="semi-automated",7,H37="automated",10))</f>
        <v/>
      </c>
      <c r="O37" s="8" t="str" cm="1">
        <f t="array" ref="O37">IF(I37="","",_xlfn.IFS(I37="easy",1,I37="acceptable",4,I37="difficult",7,I37="very difficult",10))</f>
        <v/>
      </c>
      <c r="P37" s="8" t="str" cm="1">
        <f t="array" ref="P37">IF(J37="","",_xlfn.IFS(J37="poor",1,J37="acceptable",4,J37="good",7,J37="excellent",10))</f>
        <v/>
      </c>
      <c r="Q37" s="36"/>
      <c r="R37" s="40"/>
      <c r="S37" s="40"/>
      <c r="T37" s="40"/>
      <c r="U37" s="8" t="str" cm="1">
        <f t="array" ref="U37">IF(R37="","",_xlfn.IFS(R37="not used",1,R37="manual",4,R37="semi-automated",7,R37="automated",10))</f>
        <v/>
      </c>
      <c r="V37" s="8" t="str" cm="1">
        <f t="array" ref="V37">IF(S37="","",_xlfn.IFS(S37="easy",1,S37="acceptable",4,S37="difficult",7,S37="very difficult",10))</f>
        <v/>
      </c>
      <c r="W37" s="8" t="str" cm="1">
        <f t="array" ref="W37">IF(T37="","",_xlfn.IFS(T37="poor",1,T37="acceptable",4,T37="good",7,T37="excellent",10))</f>
        <v/>
      </c>
      <c r="X37" s="8" t="str">
        <f t="shared" si="6"/>
        <v/>
      </c>
      <c r="Y37" s="8" t="str">
        <f t="shared" si="7"/>
        <v/>
      </c>
      <c r="Z37" s="8" t="str">
        <f t="shared" si="8"/>
        <v/>
      </c>
    </row>
    <row r="38" spans="1:26" x14ac:dyDescent="0.25">
      <c r="A38" s="9"/>
      <c r="B38" s="9"/>
      <c r="C38" s="9" t="str">
        <f>IF(D38="","",Overview!$B$1)</f>
        <v/>
      </c>
      <c r="D38" s="38"/>
      <c r="E38" s="38"/>
      <c r="F38" s="38"/>
      <c r="G38" s="10"/>
      <c r="H38" s="10"/>
      <c r="I38" s="10"/>
      <c r="J38" s="10"/>
      <c r="K38" s="10"/>
      <c r="L38" s="11"/>
      <c r="M38" s="11"/>
      <c r="N38" s="8" t="str" cm="1">
        <f t="array" ref="N38">IF(H38="","",_xlfn.IFS(H38="not used",1,H38="manual",4,H38="semi-automated",7,H38="automated",10))</f>
        <v/>
      </c>
      <c r="O38" s="8" t="str" cm="1">
        <f t="array" ref="O38">IF(I38="","",_xlfn.IFS(I38="easy",1,I38="acceptable",4,I38="difficult",7,I38="very difficult",10))</f>
        <v/>
      </c>
      <c r="P38" s="8" t="str" cm="1">
        <f t="array" ref="P38">IF(J38="","",_xlfn.IFS(J38="poor",1,J38="acceptable",4,J38="good",7,J38="excellent",10))</f>
        <v/>
      </c>
      <c r="Q38" s="36"/>
      <c r="R38" s="40"/>
      <c r="S38" s="40"/>
      <c r="T38" s="40"/>
      <c r="U38" s="8" t="str" cm="1">
        <f t="array" ref="U38">IF(R38="","",_xlfn.IFS(R38="not used",1,R38="manual",4,R38="semi-automated",7,R38="automated",10))</f>
        <v/>
      </c>
      <c r="V38" s="8" t="str" cm="1">
        <f t="array" ref="V38">IF(S38="","",_xlfn.IFS(S38="easy",1,S38="acceptable",4,S38="difficult",7,S38="very difficult",10))</f>
        <v/>
      </c>
      <c r="W38" s="8" t="str" cm="1">
        <f t="array" ref="W38">IF(T38="","",_xlfn.IFS(T38="poor",1,T38="acceptable",4,T38="good",7,T38="excellent",10))</f>
        <v/>
      </c>
      <c r="X38" s="8" t="str">
        <f t="shared" si="6"/>
        <v/>
      </c>
      <c r="Y38" s="8" t="str">
        <f t="shared" si="7"/>
        <v/>
      </c>
      <c r="Z38" s="8" t="str">
        <f t="shared" si="8"/>
        <v/>
      </c>
    </row>
    <row r="39" spans="1:26" x14ac:dyDescent="0.25">
      <c r="A39" s="9"/>
      <c r="B39" s="9"/>
      <c r="C39" s="9" t="str">
        <f>IF(D39="","",Overview!$B$1)</f>
        <v/>
      </c>
      <c r="D39" s="38"/>
      <c r="E39" s="38"/>
      <c r="F39" s="38"/>
      <c r="G39" s="10"/>
      <c r="H39" s="10"/>
      <c r="I39" s="10"/>
      <c r="J39" s="10"/>
      <c r="K39" s="10"/>
      <c r="L39" s="11"/>
      <c r="M39" s="11"/>
      <c r="N39" s="8" t="str" cm="1">
        <f t="array" ref="N39">IF(H39="","",_xlfn.IFS(H39="not used",1,H39="manual",4,H39="semi-automated",7,H39="automated",10))</f>
        <v/>
      </c>
      <c r="O39" s="8" t="str" cm="1">
        <f t="array" ref="O39">IF(I39="","",_xlfn.IFS(I39="easy",1,I39="acceptable",4,I39="difficult",7,I39="very difficult",10))</f>
        <v/>
      </c>
      <c r="P39" s="8" t="str" cm="1">
        <f t="array" ref="P39">IF(J39="","",_xlfn.IFS(J39="poor",1,J39="acceptable",4,J39="good",7,J39="excellent",10))</f>
        <v/>
      </c>
      <c r="Q39" s="36"/>
      <c r="R39" s="40"/>
      <c r="S39" s="40"/>
      <c r="T39" s="40"/>
      <c r="U39" s="8" t="str" cm="1">
        <f t="array" ref="U39">IF(R39="","",_xlfn.IFS(R39="not used",1,R39="manual",4,R39="semi-automated",7,R39="automated",10))</f>
        <v/>
      </c>
      <c r="V39" s="8" t="str" cm="1">
        <f t="array" ref="V39">IF(S39="","",_xlfn.IFS(S39="easy",1,S39="acceptable",4,S39="difficult",7,S39="very difficult",10))</f>
        <v/>
      </c>
      <c r="W39" s="8" t="str" cm="1">
        <f t="array" ref="W39">IF(T39="","",_xlfn.IFS(T39="poor",1,T39="acceptable",4,T39="good",7,T39="excellent",10))</f>
        <v/>
      </c>
      <c r="X39" s="8" t="str">
        <f t="shared" si="6"/>
        <v/>
      </c>
      <c r="Y39" s="8" t="str">
        <f t="shared" si="7"/>
        <v/>
      </c>
      <c r="Z39" s="8" t="str">
        <f t="shared" si="8"/>
        <v/>
      </c>
    </row>
    <row r="40" spans="1:26" x14ac:dyDescent="0.25">
      <c r="A40" s="9"/>
      <c r="B40" s="9"/>
      <c r="C40" s="9" t="str">
        <f>IF(D40="","",Overview!$B$1)</f>
        <v/>
      </c>
      <c r="D40" s="38"/>
      <c r="E40" s="38"/>
      <c r="F40" s="38"/>
      <c r="G40" s="10"/>
      <c r="H40" s="10"/>
      <c r="I40" s="10"/>
      <c r="J40" s="10"/>
      <c r="K40" s="10"/>
      <c r="L40" s="11"/>
      <c r="M40" s="11"/>
      <c r="N40" s="8" t="str" cm="1">
        <f t="array" ref="N40">IF(H40="","",_xlfn.IFS(H40="not used",1,H40="manual",4,H40="semi-automated",7,H40="automated",10))</f>
        <v/>
      </c>
      <c r="O40" s="8" t="str" cm="1">
        <f t="array" ref="O40">IF(I40="","",_xlfn.IFS(I40="easy",1,I40="acceptable",4,I40="difficult",7,I40="very difficult",10))</f>
        <v/>
      </c>
      <c r="P40" s="8" t="str" cm="1">
        <f t="array" ref="P40">IF(J40="","",_xlfn.IFS(J40="poor",1,J40="acceptable",4,J40="good",7,J40="excellent",10))</f>
        <v/>
      </c>
      <c r="Q40" s="36"/>
      <c r="R40" s="40"/>
      <c r="S40" s="40"/>
      <c r="T40" s="40"/>
      <c r="U40" s="8" t="str" cm="1">
        <f t="array" ref="U40">IF(R40="","",_xlfn.IFS(R40="not used",1,R40="manual",4,R40="semi-automated",7,R40="automated",10))</f>
        <v/>
      </c>
      <c r="V40" s="8" t="str" cm="1">
        <f t="array" ref="V40">IF(S40="","",_xlfn.IFS(S40="easy",1,S40="acceptable",4,S40="difficult",7,S40="very difficult",10))</f>
        <v/>
      </c>
      <c r="W40" s="8" t="str" cm="1">
        <f t="array" ref="W40">IF(T40="","",_xlfn.IFS(T40="poor",1,T40="acceptable",4,T40="good",7,T40="excellent",10))</f>
        <v/>
      </c>
      <c r="X40" s="8" t="str">
        <f t="shared" si="6"/>
        <v/>
      </c>
      <c r="Y40" s="8" t="str">
        <f t="shared" si="7"/>
        <v/>
      </c>
      <c r="Z40" s="8" t="str">
        <f t="shared" si="8"/>
        <v/>
      </c>
    </row>
    <row r="41" spans="1:26" x14ac:dyDescent="0.25">
      <c r="A41" s="9"/>
      <c r="B41" s="9"/>
      <c r="C41" s="9" t="str">
        <f>IF(D41="","",Overview!$B$1)</f>
        <v/>
      </c>
      <c r="D41" s="38"/>
      <c r="E41" s="38"/>
      <c r="F41" s="38"/>
      <c r="G41" s="10"/>
      <c r="H41" s="10"/>
      <c r="I41" s="10"/>
      <c r="J41" s="10"/>
      <c r="K41" s="10"/>
      <c r="L41" s="11"/>
      <c r="M41" s="11"/>
      <c r="N41" s="8" t="str" cm="1">
        <f t="array" ref="N41">IF(H41="","",_xlfn.IFS(H41="not used",1,H41="manual",4,H41="semi-automated",7,H41="automated",10))</f>
        <v/>
      </c>
      <c r="O41" s="8" t="str" cm="1">
        <f t="array" ref="O41">IF(I41="","",_xlfn.IFS(I41="easy",1,I41="acceptable",4,I41="difficult",7,I41="very difficult",10))</f>
        <v/>
      </c>
      <c r="P41" s="8" t="str" cm="1">
        <f t="array" ref="P41">IF(J41="","",_xlfn.IFS(J41="poor",1,J41="acceptable",4,J41="good",7,J41="excellent",10))</f>
        <v/>
      </c>
      <c r="Q41" s="36"/>
      <c r="R41" s="40"/>
      <c r="S41" s="40"/>
      <c r="T41" s="40"/>
      <c r="U41" s="8" t="str" cm="1">
        <f t="array" ref="U41">IF(R41="","",_xlfn.IFS(R41="not used",1,R41="manual",4,R41="semi-automated",7,R41="automated",10))</f>
        <v/>
      </c>
      <c r="V41" s="8" t="str" cm="1">
        <f t="array" ref="V41">IF(S41="","",_xlfn.IFS(S41="easy",1,S41="acceptable",4,S41="difficult",7,S41="very difficult",10))</f>
        <v/>
      </c>
      <c r="W41" s="8" t="str" cm="1">
        <f t="array" ref="W41">IF(T41="","",_xlfn.IFS(T41="poor",1,T41="acceptable",4,T41="good",7,T41="excellent",10))</f>
        <v/>
      </c>
      <c r="X41" s="8" t="str">
        <f t="shared" si="6"/>
        <v/>
      </c>
      <c r="Y41" s="8" t="str">
        <f t="shared" si="7"/>
        <v/>
      </c>
      <c r="Z41" s="8" t="str">
        <f t="shared" si="8"/>
        <v/>
      </c>
    </row>
    <row r="42" spans="1:26" x14ac:dyDescent="0.25">
      <c r="A42" s="9"/>
      <c r="B42" s="9"/>
      <c r="C42" s="9" t="str">
        <f>IF(D42="","",Overview!$B$1)</f>
        <v/>
      </c>
      <c r="D42" s="38"/>
      <c r="E42" s="38"/>
      <c r="F42" s="38"/>
      <c r="G42" s="10"/>
      <c r="H42" s="10"/>
      <c r="I42" s="10"/>
      <c r="J42" s="10"/>
      <c r="K42" s="10"/>
      <c r="L42" s="11"/>
      <c r="M42" s="11"/>
      <c r="N42" s="8" t="str" cm="1">
        <f t="array" ref="N42">IF(H42="","",_xlfn.IFS(H42="not used",1,H42="manual",4,H42="semi-automated",7,H42="automated",10))</f>
        <v/>
      </c>
      <c r="O42" s="8" t="str" cm="1">
        <f t="array" ref="O42">IF(I42="","",_xlfn.IFS(I42="easy",1,I42="acceptable",4,I42="difficult",7,I42="very difficult",10))</f>
        <v/>
      </c>
      <c r="P42" s="8" t="str" cm="1">
        <f t="array" ref="P42">IF(J42="","",_xlfn.IFS(J42="poor",1,J42="acceptable",4,J42="good",7,J42="excellent",10))</f>
        <v/>
      </c>
      <c r="Q42" s="36"/>
      <c r="R42" s="40"/>
      <c r="S42" s="40"/>
      <c r="T42" s="40"/>
      <c r="U42" s="8" t="str" cm="1">
        <f t="array" ref="U42">IF(R42="","",_xlfn.IFS(R42="not used",1,R42="manual",4,R42="semi-automated",7,R42="automated",10))</f>
        <v/>
      </c>
      <c r="V42" s="8" t="str" cm="1">
        <f t="array" ref="V42">IF(S42="","",_xlfn.IFS(S42="easy",1,S42="acceptable",4,S42="difficult",7,S42="very difficult",10))</f>
        <v/>
      </c>
      <c r="W42" s="8" t="str" cm="1">
        <f t="array" ref="W42">IF(T42="","",_xlfn.IFS(T42="poor",1,T42="acceptable",4,T42="good",7,T42="excellent",10))</f>
        <v/>
      </c>
      <c r="X42" s="8" t="str">
        <f t="shared" si="6"/>
        <v/>
      </c>
      <c r="Y42" s="8" t="str">
        <f t="shared" si="7"/>
        <v/>
      </c>
      <c r="Z42" s="8" t="str">
        <f t="shared" si="8"/>
        <v/>
      </c>
    </row>
    <row r="43" spans="1:26" x14ac:dyDescent="0.25">
      <c r="A43" s="9"/>
      <c r="B43" s="9"/>
      <c r="C43" s="9" t="str">
        <f>IF(D43="","",Overview!$B$1)</f>
        <v/>
      </c>
      <c r="D43" s="38"/>
      <c r="E43" s="38"/>
      <c r="F43" s="38"/>
      <c r="G43" s="10"/>
      <c r="H43" s="10"/>
      <c r="I43" s="10"/>
      <c r="J43" s="10"/>
      <c r="K43" s="10"/>
      <c r="L43" s="11"/>
      <c r="M43" s="11"/>
      <c r="N43" s="8" t="str" cm="1">
        <f t="array" ref="N43">IF(H43="","",_xlfn.IFS(H43="not used",1,H43="manual",4,H43="semi-automated",7,H43="automated",10))</f>
        <v/>
      </c>
      <c r="O43" s="8" t="str" cm="1">
        <f t="array" ref="O43">IF(I43="","",_xlfn.IFS(I43="easy",1,I43="acceptable",4,I43="difficult",7,I43="very difficult",10))</f>
        <v/>
      </c>
      <c r="P43" s="8" t="str" cm="1">
        <f t="array" ref="P43">IF(J43="","",_xlfn.IFS(J43="poor",1,J43="acceptable",4,J43="good",7,J43="excellent",10))</f>
        <v/>
      </c>
      <c r="Q43" s="36"/>
      <c r="R43" s="40"/>
      <c r="S43" s="40"/>
      <c r="T43" s="40"/>
      <c r="U43" s="8" t="str" cm="1">
        <f t="array" ref="U43">IF(R43="","",_xlfn.IFS(R43="not used",1,R43="manual",4,R43="semi-automated",7,R43="automated",10))</f>
        <v/>
      </c>
      <c r="V43" s="8" t="str" cm="1">
        <f t="array" ref="V43">IF(S43="","",_xlfn.IFS(S43="easy",1,S43="acceptable",4,S43="difficult",7,S43="very difficult",10))</f>
        <v/>
      </c>
      <c r="W43" s="8" t="str" cm="1">
        <f t="array" ref="W43">IF(T43="","",_xlfn.IFS(T43="poor",1,T43="acceptable",4,T43="good",7,T43="excellent",10))</f>
        <v/>
      </c>
      <c r="X43" s="8" t="str">
        <f t="shared" si="6"/>
        <v/>
      </c>
      <c r="Y43" s="8" t="str">
        <f t="shared" si="7"/>
        <v/>
      </c>
      <c r="Z43" s="8" t="str">
        <f t="shared" si="8"/>
        <v/>
      </c>
    </row>
    <row r="44" spans="1:26" x14ac:dyDescent="0.25">
      <c r="A44" s="9"/>
      <c r="B44" s="9"/>
      <c r="C44" s="9" t="str">
        <f>IF(D44="","",Overview!$B$1)</f>
        <v/>
      </c>
      <c r="D44" s="38"/>
      <c r="E44" s="38"/>
      <c r="F44" s="38"/>
      <c r="G44" s="10"/>
      <c r="H44" s="10"/>
      <c r="I44" s="10"/>
      <c r="J44" s="10"/>
      <c r="K44" s="10"/>
      <c r="L44" s="11"/>
      <c r="M44" s="11"/>
      <c r="N44" s="8" t="str" cm="1">
        <f t="array" ref="N44">IF(H44="","",_xlfn.IFS(H44="not used",1,H44="manual",4,H44="semi-automated",7,H44="automated",10))</f>
        <v/>
      </c>
      <c r="O44" s="8" t="str" cm="1">
        <f t="array" ref="O44">IF(I44="","",_xlfn.IFS(I44="easy",1,I44="acceptable",4,I44="difficult",7,I44="very difficult",10))</f>
        <v/>
      </c>
      <c r="P44" s="8" t="str" cm="1">
        <f t="array" ref="P44">IF(J44="","",_xlfn.IFS(J44="poor",1,J44="acceptable",4,J44="good",7,J44="excellent",10))</f>
        <v/>
      </c>
      <c r="Q44" s="36"/>
      <c r="R44" s="40"/>
      <c r="S44" s="40"/>
      <c r="T44" s="40"/>
      <c r="U44" s="8" t="str" cm="1">
        <f t="array" ref="U44">IF(R44="","",_xlfn.IFS(R44="not used",1,R44="manual",4,R44="semi-automated",7,R44="automated",10))</f>
        <v/>
      </c>
      <c r="V44" s="8" t="str" cm="1">
        <f t="array" ref="V44">IF(S44="","",_xlfn.IFS(S44="easy",1,S44="acceptable",4,S44="difficult",7,S44="very difficult",10))</f>
        <v/>
      </c>
      <c r="W44" s="8" t="str" cm="1">
        <f t="array" ref="W44">IF(T44="","",_xlfn.IFS(T44="poor",1,T44="acceptable",4,T44="good",7,T44="excellent",10))</f>
        <v/>
      </c>
      <c r="X44" s="8" t="str">
        <f t="shared" si="6"/>
        <v/>
      </c>
      <c r="Y44" s="8" t="str">
        <f t="shared" si="7"/>
        <v/>
      </c>
      <c r="Z44" s="8" t="str">
        <f t="shared" si="8"/>
        <v/>
      </c>
    </row>
    <row r="45" spans="1:26" x14ac:dyDescent="0.25">
      <c r="A45" s="9"/>
      <c r="B45" s="9"/>
      <c r="C45" s="9" t="str">
        <f>IF(D45="","",Overview!$B$1)</f>
        <v/>
      </c>
      <c r="D45" s="38"/>
      <c r="E45" s="38"/>
      <c r="F45" s="38"/>
      <c r="G45" s="10"/>
      <c r="H45" s="10"/>
      <c r="I45" s="10"/>
      <c r="J45" s="10"/>
      <c r="K45" s="10"/>
      <c r="L45" s="11"/>
      <c r="M45" s="11"/>
      <c r="N45" s="8" t="str" cm="1">
        <f t="array" ref="N45">IF(H45="","",_xlfn.IFS(H45="not used",1,H45="manual",4,H45="semi-automated",7,H45="automated",10))</f>
        <v/>
      </c>
      <c r="O45" s="8" t="str" cm="1">
        <f t="array" ref="O45">IF(I45="","",_xlfn.IFS(I45="easy",1,I45="acceptable",4,I45="difficult",7,I45="very difficult",10))</f>
        <v/>
      </c>
      <c r="P45" s="8" t="str" cm="1">
        <f t="array" ref="P45">IF(J45="","",_xlfn.IFS(J45="poor",1,J45="acceptable",4,J45="good",7,J45="excellent",10))</f>
        <v/>
      </c>
      <c r="Q45" s="36"/>
      <c r="R45" s="40"/>
      <c r="S45" s="40"/>
      <c r="T45" s="40"/>
      <c r="U45" s="8" t="str" cm="1">
        <f t="array" ref="U45">IF(R45="","",_xlfn.IFS(R45="not used",1,R45="manual",4,R45="semi-automated",7,R45="automated",10))</f>
        <v/>
      </c>
      <c r="V45" s="8" t="str" cm="1">
        <f t="array" ref="V45">IF(S45="","",_xlfn.IFS(S45="easy",1,S45="acceptable",4,S45="difficult",7,S45="very difficult",10))</f>
        <v/>
      </c>
      <c r="W45" s="8" t="str" cm="1">
        <f t="array" ref="W45">IF(T45="","",_xlfn.IFS(T45="poor",1,T45="acceptable",4,T45="good",7,T45="excellent",10))</f>
        <v/>
      </c>
      <c r="X45" s="8" t="str">
        <f t="shared" si="6"/>
        <v/>
      </c>
      <c r="Y45" s="8" t="str">
        <f t="shared" si="7"/>
        <v/>
      </c>
      <c r="Z45" s="8" t="str">
        <f t="shared" si="8"/>
        <v/>
      </c>
    </row>
    <row r="46" spans="1:26" x14ac:dyDescent="0.25">
      <c r="A46" s="9"/>
      <c r="B46" s="9"/>
      <c r="C46" s="9" t="str">
        <f>IF(D46="","",Overview!$B$1)</f>
        <v/>
      </c>
      <c r="D46" s="38"/>
      <c r="E46" s="38"/>
      <c r="F46" s="38"/>
      <c r="G46" s="10"/>
      <c r="H46" s="10"/>
      <c r="I46" s="10"/>
      <c r="J46" s="10"/>
      <c r="K46" s="10"/>
      <c r="L46" s="11"/>
      <c r="M46" s="11"/>
      <c r="N46" s="8" t="str" cm="1">
        <f t="array" ref="N46">IF(H46="","",_xlfn.IFS(H46="not used",1,H46="manual",4,H46="semi-automated",7,H46="automated",10))</f>
        <v/>
      </c>
      <c r="O46" s="8" t="str" cm="1">
        <f t="array" ref="O46">IF(I46="","",_xlfn.IFS(I46="easy",1,I46="acceptable",4,I46="difficult",7,I46="very difficult",10))</f>
        <v/>
      </c>
      <c r="P46" s="8" t="str" cm="1">
        <f t="array" ref="P46">IF(J46="","",_xlfn.IFS(J46="poor",1,J46="acceptable",4,J46="good",7,J46="excellent",10))</f>
        <v/>
      </c>
      <c r="Q46" s="36"/>
      <c r="R46" s="40"/>
      <c r="S46" s="40"/>
      <c r="T46" s="40"/>
      <c r="U46" s="8" t="str" cm="1">
        <f t="array" ref="U46">IF(R46="","",_xlfn.IFS(R46="not used",1,R46="manual",4,R46="semi-automated",7,R46="automated",10))</f>
        <v/>
      </c>
      <c r="V46" s="8" t="str" cm="1">
        <f t="array" ref="V46">IF(S46="","",_xlfn.IFS(S46="easy",1,S46="acceptable",4,S46="difficult",7,S46="very difficult",10))</f>
        <v/>
      </c>
      <c r="W46" s="8" t="str" cm="1">
        <f t="array" ref="W46">IF(T46="","",_xlfn.IFS(T46="poor",1,T46="acceptable",4,T46="good",7,T46="excellent",10))</f>
        <v/>
      </c>
      <c r="X46" s="8" t="str">
        <f t="shared" si="6"/>
        <v/>
      </c>
      <c r="Y46" s="8" t="str">
        <f t="shared" si="7"/>
        <v/>
      </c>
      <c r="Z46" s="8" t="str">
        <f t="shared" si="8"/>
        <v/>
      </c>
    </row>
    <row r="47" spans="1:26" x14ac:dyDescent="0.25">
      <c r="A47" s="9"/>
      <c r="B47" s="9"/>
      <c r="C47" s="9" t="str">
        <f>IF(D47="","",Overview!$B$1)</f>
        <v/>
      </c>
      <c r="D47" s="38"/>
      <c r="E47" s="38"/>
      <c r="F47" s="38"/>
      <c r="G47" s="10"/>
      <c r="H47" s="10"/>
      <c r="I47" s="10"/>
      <c r="J47" s="10"/>
      <c r="K47" s="10"/>
      <c r="L47" s="11"/>
      <c r="M47" s="11"/>
      <c r="N47" s="8" t="str" cm="1">
        <f t="array" ref="N47">IF(H47="","",_xlfn.IFS(H47="not used",1,H47="manual",4,H47="semi-automated",7,H47="automated",10))</f>
        <v/>
      </c>
      <c r="O47" s="8" t="str" cm="1">
        <f t="array" ref="O47">IF(I47="","",_xlfn.IFS(I47="easy",1,I47="acceptable",4,I47="difficult",7,I47="very difficult",10))</f>
        <v/>
      </c>
      <c r="P47" s="8" t="str" cm="1">
        <f t="array" ref="P47">IF(J47="","",_xlfn.IFS(J47="poor",1,J47="acceptable",4,J47="good",7,J47="excellent",10))</f>
        <v/>
      </c>
      <c r="Q47" s="36"/>
      <c r="R47" s="40"/>
      <c r="S47" s="40"/>
      <c r="T47" s="40"/>
      <c r="U47" s="8" t="str" cm="1">
        <f t="array" ref="U47">IF(R47="","",_xlfn.IFS(R47="not used",1,R47="manual",4,R47="semi-automated",7,R47="automated",10))</f>
        <v/>
      </c>
      <c r="V47" s="8" t="str" cm="1">
        <f t="array" ref="V47">IF(S47="","",_xlfn.IFS(S47="easy",1,S47="acceptable",4,S47="difficult",7,S47="very difficult",10))</f>
        <v/>
      </c>
      <c r="W47" s="8" t="str" cm="1">
        <f t="array" ref="W47">IF(T47="","",_xlfn.IFS(T47="poor",1,T47="acceptable",4,T47="good",7,T47="excellent",10))</f>
        <v/>
      </c>
      <c r="X47" s="8" t="str">
        <f t="shared" si="6"/>
        <v/>
      </c>
      <c r="Y47" s="8" t="str">
        <f t="shared" si="7"/>
        <v/>
      </c>
      <c r="Z47" s="8" t="str">
        <f t="shared" si="8"/>
        <v/>
      </c>
    </row>
    <row r="48" spans="1:26" x14ac:dyDescent="0.25">
      <c r="A48" s="9"/>
      <c r="B48" s="9"/>
      <c r="C48" s="9" t="str">
        <f>IF(D48="","",Overview!$B$1)</f>
        <v/>
      </c>
      <c r="D48" s="38"/>
      <c r="E48" s="38"/>
      <c r="F48" s="38"/>
      <c r="G48" s="10"/>
      <c r="H48" s="10"/>
      <c r="I48" s="10"/>
      <c r="J48" s="10"/>
      <c r="K48" s="10"/>
      <c r="L48" s="11"/>
      <c r="M48" s="11"/>
      <c r="N48" s="8" t="str" cm="1">
        <f t="array" ref="N48">IF(H48="","",_xlfn.IFS(H48="not used",1,H48="manual",4,H48="semi-automated",7,H48="automated",10))</f>
        <v/>
      </c>
      <c r="O48" s="8" t="str" cm="1">
        <f t="array" ref="O48">IF(I48="","",_xlfn.IFS(I48="easy",1,I48="acceptable",4,I48="difficult",7,I48="very difficult",10))</f>
        <v/>
      </c>
      <c r="P48" s="8" t="str" cm="1">
        <f t="array" ref="P48">IF(J48="","",_xlfn.IFS(J48="poor",1,J48="acceptable",4,J48="good",7,J48="excellent",10))</f>
        <v/>
      </c>
      <c r="Q48" s="36"/>
      <c r="R48" s="40"/>
      <c r="S48" s="40"/>
      <c r="T48" s="40"/>
      <c r="U48" s="8" t="str" cm="1">
        <f t="array" ref="U48">IF(R48="","",_xlfn.IFS(R48="not used",1,R48="manual",4,R48="semi-automated",7,R48="automated",10))</f>
        <v/>
      </c>
      <c r="V48" s="8" t="str" cm="1">
        <f t="array" ref="V48">IF(S48="","",_xlfn.IFS(S48="easy",1,S48="acceptable",4,S48="difficult",7,S48="very difficult",10))</f>
        <v/>
      </c>
      <c r="W48" s="8" t="str" cm="1">
        <f t="array" ref="W48">IF(T48="","",_xlfn.IFS(T48="poor",1,T48="acceptable",4,T48="good",7,T48="excellent",10))</f>
        <v/>
      </c>
      <c r="X48" s="8" t="str">
        <f t="shared" si="6"/>
        <v/>
      </c>
      <c r="Y48" s="8" t="str">
        <f t="shared" si="7"/>
        <v/>
      </c>
      <c r="Z48" s="8" t="str">
        <f t="shared" si="8"/>
        <v/>
      </c>
    </row>
    <row r="49" spans="1:26" x14ac:dyDescent="0.25">
      <c r="A49" s="9"/>
      <c r="B49" s="9"/>
      <c r="C49" s="9" t="str">
        <f>IF(D49="","",Overview!$B$1)</f>
        <v/>
      </c>
      <c r="D49" s="38"/>
      <c r="E49" s="38"/>
      <c r="F49" s="38"/>
      <c r="G49" s="10"/>
      <c r="H49" s="10"/>
      <c r="I49" s="10"/>
      <c r="J49" s="10"/>
      <c r="K49" s="10"/>
      <c r="L49" s="11"/>
      <c r="M49" s="11"/>
      <c r="N49" s="8" t="str" cm="1">
        <f t="array" ref="N49">IF(H49="","",_xlfn.IFS(H49="not used",1,H49="manual",4,H49="semi-automated",7,H49="automated",10))</f>
        <v/>
      </c>
      <c r="O49" s="8" t="str" cm="1">
        <f t="array" ref="O49">IF(I49="","",_xlfn.IFS(I49="easy",1,I49="acceptable",4,I49="difficult",7,I49="very difficult",10))</f>
        <v/>
      </c>
      <c r="P49" s="8" t="str" cm="1">
        <f t="array" ref="P49">IF(J49="","",_xlfn.IFS(J49="poor",1,J49="acceptable",4,J49="good",7,J49="excellent",10))</f>
        <v/>
      </c>
      <c r="Q49" s="36"/>
      <c r="R49" s="40"/>
      <c r="S49" s="40"/>
      <c r="T49" s="40"/>
      <c r="U49" s="8" t="str" cm="1">
        <f t="array" ref="U49">IF(R49="","",_xlfn.IFS(R49="not used",1,R49="manual",4,R49="semi-automated",7,R49="automated",10))</f>
        <v/>
      </c>
      <c r="V49" s="8" t="str" cm="1">
        <f t="array" ref="V49">IF(S49="","",_xlfn.IFS(S49="easy",1,S49="acceptable",4,S49="difficult",7,S49="very difficult",10))</f>
        <v/>
      </c>
      <c r="W49" s="8" t="str" cm="1">
        <f t="array" ref="W49">IF(T49="","",_xlfn.IFS(T49="poor",1,T49="acceptable",4,T49="good",7,T49="excellent",10))</f>
        <v/>
      </c>
      <c r="X49" s="8" t="str">
        <f t="shared" si="6"/>
        <v/>
      </c>
      <c r="Y49" s="8" t="str">
        <f t="shared" si="7"/>
        <v/>
      </c>
      <c r="Z49" s="8" t="str">
        <f t="shared" si="8"/>
        <v/>
      </c>
    </row>
    <row r="50" spans="1:26" x14ac:dyDescent="0.25">
      <c r="A50" s="9"/>
      <c r="B50" s="9"/>
      <c r="C50" s="9" t="str">
        <f>IF(D50="","",Overview!$B$1)</f>
        <v/>
      </c>
      <c r="D50" s="38"/>
      <c r="E50" s="38"/>
      <c r="F50" s="38"/>
      <c r="G50" s="10"/>
      <c r="H50" s="10"/>
      <c r="I50" s="10"/>
      <c r="J50" s="10"/>
      <c r="K50" s="10"/>
      <c r="L50" s="11"/>
      <c r="M50" s="11"/>
      <c r="N50" s="8" t="str" cm="1">
        <f t="array" ref="N50">IF(H50="","",_xlfn.IFS(H50="not used",1,H50="manual",4,H50="semi-automated",7,H50="automated",10))</f>
        <v/>
      </c>
      <c r="O50" s="8" t="str" cm="1">
        <f t="array" ref="O50">IF(I50="","",_xlfn.IFS(I50="easy",1,I50="acceptable",4,I50="difficult",7,I50="very difficult",10))</f>
        <v/>
      </c>
      <c r="P50" s="8" t="str" cm="1">
        <f t="array" ref="P50">IF(J50="","",_xlfn.IFS(J50="poor",1,J50="acceptable",4,J50="good",7,J50="excellent",10))</f>
        <v/>
      </c>
      <c r="Q50" s="36"/>
      <c r="R50" s="40"/>
      <c r="S50" s="40"/>
      <c r="T50" s="40"/>
      <c r="U50" s="8" t="str" cm="1">
        <f t="array" ref="U50">IF(R50="","",_xlfn.IFS(R50="not used",1,R50="manual",4,R50="semi-automated",7,R50="automated",10))</f>
        <v/>
      </c>
      <c r="V50" s="8" t="str" cm="1">
        <f t="array" ref="V50">IF(S50="","",_xlfn.IFS(S50="easy",1,S50="acceptable",4,S50="difficult",7,S50="very difficult",10))</f>
        <v/>
      </c>
      <c r="W50" s="8" t="str" cm="1">
        <f t="array" ref="W50">IF(T50="","",_xlfn.IFS(T50="poor",1,T50="acceptable",4,T50="good",7,T50="excellent",10))</f>
        <v/>
      </c>
      <c r="X50" s="8" t="str">
        <f t="shared" si="6"/>
        <v/>
      </c>
      <c r="Y50" s="8" t="str">
        <f t="shared" si="7"/>
        <v/>
      </c>
      <c r="Z50" s="8" t="str">
        <f t="shared" si="8"/>
        <v/>
      </c>
    </row>
    <row r="51" spans="1:26" x14ac:dyDescent="0.25">
      <c r="D51" s="12"/>
      <c r="E51" s="12"/>
      <c r="F51" s="12"/>
    </row>
    <row r="52" spans="1:26" x14ac:dyDescent="0.25">
      <c r="D52" s="12"/>
      <c r="E52" s="12"/>
      <c r="F52" s="12"/>
    </row>
    <row r="53" spans="1:26" x14ac:dyDescent="0.25">
      <c r="D53" s="12"/>
      <c r="E53" s="12"/>
      <c r="F53" s="12"/>
    </row>
    <row r="54" spans="1:26" x14ac:dyDescent="0.25">
      <c r="D54" s="12"/>
      <c r="E54" s="12"/>
      <c r="F54" s="12"/>
    </row>
    <row r="55" spans="1:26" x14ac:dyDescent="0.25">
      <c r="D55" s="12"/>
      <c r="E55" s="12"/>
      <c r="F55" s="12"/>
    </row>
    <row r="56" spans="1:26" x14ac:dyDescent="0.25">
      <c r="D56" s="12"/>
      <c r="E56" s="12"/>
      <c r="F56" s="12"/>
    </row>
    <row r="57" spans="1:26" x14ac:dyDescent="0.25">
      <c r="D57" s="12"/>
      <c r="E57" s="12"/>
      <c r="F57" s="12"/>
    </row>
    <row r="58" spans="1:26" x14ac:dyDescent="0.25">
      <c r="D58" s="12"/>
      <c r="E58" s="12"/>
      <c r="F58" s="12"/>
    </row>
    <row r="59" spans="1:26" x14ac:dyDescent="0.25">
      <c r="D59" s="12"/>
      <c r="E59" s="12"/>
      <c r="F59" s="12"/>
    </row>
    <row r="60" spans="1:26" x14ac:dyDescent="0.25">
      <c r="D60" s="12"/>
      <c r="E60" s="12"/>
      <c r="F60" s="12"/>
    </row>
    <row r="61" spans="1:26" x14ac:dyDescent="0.25">
      <c r="D61" s="12"/>
      <c r="E61" s="12"/>
      <c r="F61" s="12"/>
    </row>
    <row r="62" spans="1:26" x14ac:dyDescent="0.25">
      <c r="D62" s="12"/>
      <c r="E62" s="12"/>
      <c r="F62" s="12"/>
    </row>
    <row r="63" spans="1:26" x14ac:dyDescent="0.25">
      <c r="D63" s="12"/>
      <c r="E63" s="12"/>
      <c r="F63" s="12"/>
    </row>
    <row r="64" spans="1:26" x14ac:dyDescent="0.25">
      <c r="D64" s="12"/>
      <c r="E64" s="12"/>
      <c r="F64" s="12"/>
    </row>
    <row r="65" spans="4:6" x14ac:dyDescent="0.25">
      <c r="D65" s="12"/>
      <c r="E65" s="12"/>
      <c r="F65" s="12"/>
    </row>
  </sheetData>
  <sheetProtection selectLockedCells="1"/>
  <conditionalFormatting sqref="Q2:Q50">
    <cfRule type="cellIs" dxfId="7" priority="25" operator="equal">
      <formula>"postponed"</formula>
    </cfRule>
    <cfRule type="cellIs" dxfId="6" priority="26" operator="equal">
      <formula>"tbd"</formula>
    </cfRule>
    <cfRule type="cellIs" dxfId="5" priority="27" operator="equal">
      <formula>"no"</formula>
    </cfRule>
    <cfRule type="cellIs" dxfId="4" priority="28" operator="equal">
      <formula>"yes"</formula>
    </cfRule>
  </conditionalFormatting>
  <conditionalFormatting sqref="X36:X50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6:Y50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2:Q50">
    <cfRule type="cellIs" dxfId="3" priority="14" operator="equal">
      <formula>"N/A"</formula>
    </cfRule>
    <cfRule type="cellIs" dxfId="2" priority="15" operator="equal">
      <formula>"ongoing"</formula>
    </cfRule>
  </conditionalFormatting>
  <conditionalFormatting sqref="Q1:Q1048576">
    <cfRule type="cellIs" dxfId="1" priority="12" operator="equal">
      <formula>"not started"</formula>
    </cfRule>
    <cfRule type="cellIs" dxfId="0" priority="13" operator="equal">
      <formula>"approved"</formula>
    </cfRule>
  </conditionalFormatting>
  <conditionalFormatting sqref="Z36:Z50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AC5C0AD-A44B-4C31-9430-F130162628E2}">
          <x14:formula1>
            <xm:f>Definition!$B$2:$B$5</xm:f>
          </x14:formula1>
          <xm:sqref>L51 Q51</xm:sqref>
        </x14:dataValidation>
        <x14:dataValidation type="list" allowBlank="1" showInputMessage="1" showErrorMessage="1" xr:uid="{AA2692A5-859F-4D94-8795-23EC96FBD7BE}">
          <x14:formula1>
            <xm:f>Definition!$G$2:$G$6</xm:f>
          </x14:formula1>
          <xm:sqref>T2:T50 J2:J34 J36:J50</xm:sqref>
        </x14:dataValidation>
        <x14:dataValidation type="list" allowBlank="1" showInputMessage="1" showErrorMessage="1" xr:uid="{36021ADE-8464-4590-B41C-73763877429B}">
          <x14:formula1>
            <xm:f>Definition!$F$2:$F$6</xm:f>
          </x14:formula1>
          <xm:sqref>S2:S50 I2:I34 I36:I50</xm:sqref>
        </x14:dataValidation>
        <x14:dataValidation type="list" allowBlank="1" showInputMessage="1" showErrorMessage="1" xr:uid="{4AC6803E-1902-45B8-9E7A-4B13CD934359}">
          <x14:formula1>
            <xm:f>Definition!$D$2:$D$5</xm:f>
          </x14:formula1>
          <xm:sqref>F2:F34</xm:sqref>
        </x14:dataValidation>
        <x14:dataValidation type="list" allowBlank="1" showInputMessage="1" showErrorMessage="1" xr:uid="{11674ED3-CC3E-491E-801C-534C0F06F5EC}">
          <x14:formula1>
            <xm:f>Definition!$C$2:$C$6</xm:f>
          </x14:formula1>
          <xm:sqref>H36:H50 H2:H34 R2:R50</xm:sqref>
        </x14:dataValidation>
        <x14:dataValidation type="list" allowBlank="1" showInputMessage="1" showErrorMessage="1" xr:uid="{4D055199-3A32-4643-AF83-EC4DFC818AE0}">
          <x14:formula1>
            <xm:f>Definition!$E$2:$E$7</xm:f>
          </x14:formula1>
          <xm:sqref>L2:L34 L36:L50</xm:sqref>
        </x14:dataValidation>
        <x14:dataValidation type="list" allowBlank="1" showInputMessage="1" showErrorMessage="1" xr:uid="{DA979C6C-0F7C-4AF2-93E5-541722460789}">
          <x14:formula1>
            <xm:f>Definition!$I$2:$I$4</xm:f>
          </x14:formula1>
          <xm:sqref>K2:K34 K36:K50</xm:sqref>
        </x14:dataValidation>
        <x14:dataValidation type="list" allowBlank="1" showInputMessage="1" showErrorMessage="1" xr:uid="{054BFAD8-F7EA-4D5D-B5BE-D8484060185C}">
          <x14:formula1>
            <xm:f>Definition!$J$2:$J$6</xm:f>
          </x14:formula1>
          <xm:sqref>Q2:Q50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AD12-76E3-4454-B01D-99464443064D}">
  <sheetPr codeName="Sheet4">
    <tabColor theme="0" tint="-0.499984740745262"/>
  </sheetPr>
  <dimension ref="A1:J5"/>
  <sheetViews>
    <sheetView workbookViewId="0">
      <selection activeCell="E1" sqref="E1:E6"/>
    </sheetView>
  </sheetViews>
  <sheetFormatPr defaultColWidth="9.140625" defaultRowHeight="15" x14ac:dyDescent="0.25"/>
  <cols>
    <col min="1" max="3" width="17.42578125" style="6" customWidth="1"/>
    <col min="4" max="4" width="13.42578125" style="6" bestFit="1" customWidth="1"/>
    <col min="5" max="5" width="16.42578125" style="6" bestFit="1" customWidth="1"/>
    <col min="6" max="6" width="12.28515625" style="6" bestFit="1" customWidth="1"/>
    <col min="7" max="7" width="11.42578125" style="6" bestFit="1" customWidth="1"/>
    <col min="8" max="8" width="12.28515625" style="6" bestFit="1" customWidth="1"/>
    <col min="9" max="9" width="10.42578125" style="6" bestFit="1" customWidth="1"/>
    <col min="10" max="10" width="10.7109375" style="6" bestFit="1" customWidth="1"/>
    <col min="11" max="16384" width="9.140625" style="6"/>
  </cols>
  <sheetData>
    <row r="1" spans="1:10" x14ac:dyDescent="0.25">
      <c r="A1" s="7" t="s">
        <v>50</v>
      </c>
      <c r="B1" s="7" t="s">
        <v>51</v>
      </c>
      <c r="C1" s="7" t="s">
        <v>52</v>
      </c>
      <c r="D1" s="7" t="s">
        <v>53</v>
      </c>
      <c r="E1" s="7" t="s">
        <v>54</v>
      </c>
      <c r="F1" s="7" t="s">
        <v>9</v>
      </c>
      <c r="G1" s="7" t="s">
        <v>55</v>
      </c>
      <c r="H1" s="7" t="s">
        <v>59</v>
      </c>
      <c r="I1" s="7" t="s">
        <v>135</v>
      </c>
      <c r="J1" s="7" t="s">
        <v>131</v>
      </c>
    </row>
    <row r="2" spans="1:10" x14ac:dyDescent="0.25">
      <c r="A2" s="6">
        <v>1</v>
      </c>
      <c r="B2" s="6" t="s">
        <v>47</v>
      </c>
      <c r="C2" s="6" t="s">
        <v>42</v>
      </c>
      <c r="D2" t="s">
        <v>29</v>
      </c>
      <c r="E2" s="6" t="s">
        <v>39</v>
      </c>
      <c r="F2" s="6" t="s">
        <v>37</v>
      </c>
      <c r="G2" s="6" t="s">
        <v>48</v>
      </c>
      <c r="H2" s="6" t="s">
        <v>60</v>
      </c>
      <c r="I2" s="6" t="s">
        <v>136</v>
      </c>
      <c r="J2" s="6" t="s">
        <v>134</v>
      </c>
    </row>
    <row r="3" spans="1:10" x14ac:dyDescent="0.25">
      <c r="A3" s="6">
        <v>4</v>
      </c>
      <c r="B3" s="6" t="s">
        <v>56</v>
      </c>
      <c r="C3" s="6" t="s">
        <v>24</v>
      </c>
      <c r="D3" t="s">
        <v>57</v>
      </c>
      <c r="E3" s="6" t="s">
        <v>138</v>
      </c>
      <c r="F3" s="6" t="s">
        <v>40</v>
      </c>
      <c r="G3" s="6" t="s">
        <v>40</v>
      </c>
      <c r="H3" s="6" t="s">
        <v>61</v>
      </c>
      <c r="I3" s="6" t="s">
        <v>137</v>
      </c>
      <c r="J3" s="6" t="s">
        <v>132</v>
      </c>
    </row>
    <row r="4" spans="1:10" x14ac:dyDescent="0.25">
      <c r="A4" s="6">
        <v>7</v>
      </c>
      <c r="B4" s="6" t="s">
        <v>49</v>
      </c>
      <c r="C4" s="6" t="s">
        <v>46</v>
      </c>
      <c r="D4" t="s">
        <v>34</v>
      </c>
      <c r="E4" s="6" t="s">
        <v>44</v>
      </c>
      <c r="F4" s="6" t="s">
        <v>41</v>
      </c>
      <c r="G4" s="6" t="s">
        <v>45</v>
      </c>
      <c r="H4" s="6" t="s">
        <v>62</v>
      </c>
      <c r="J4" s="6" t="s">
        <v>130</v>
      </c>
    </row>
    <row r="5" spans="1:10" x14ac:dyDescent="0.25">
      <c r="A5" s="6">
        <v>10</v>
      </c>
      <c r="B5" s="6" t="s">
        <v>64</v>
      </c>
      <c r="C5" s="6" t="s">
        <v>58</v>
      </c>
      <c r="D5"/>
      <c r="F5" s="6" t="s">
        <v>43</v>
      </c>
      <c r="G5" s="6" t="s">
        <v>38</v>
      </c>
      <c r="H5" s="6" t="s">
        <v>63</v>
      </c>
      <c r="J5" s="6" t="s">
        <v>133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F0C7DA263C8F4386142D799DBC8129" ma:contentTypeVersion="24" ma:contentTypeDescription="Create a new document." ma:contentTypeScope="" ma:versionID="784d7a02c67458f749fa26753687ebed">
  <xsd:schema xmlns:xsd="http://www.w3.org/2001/XMLSchema" xmlns:xs="http://www.w3.org/2001/XMLSchema" xmlns:p="http://schemas.microsoft.com/office/2006/metadata/properties" xmlns:ns2="bfa70dca-5c52-4a34-92cc-f1f857dfe3f4" xmlns:ns3="765fc2e2-3267-417e-9a46-2302bf4c9859" targetNamespace="http://schemas.microsoft.com/office/2006/metadata/properties" ma:root="true" ma:fieldsID="5d6066c376c0e97a0343aeee3455f4d0" ns2:_="" ns3:_="">
    <xsd:import namespace="bfa70dca-5c52-4a34-92cc-f1f857dfe3f4"/>
    <xsd:import namespace="765fc2e2-3267-417e-9a46-2302bf4c9859"/>
    <xsd:element name="properties">
      <xsd:complexType>
        <xsd:sequence>
          <xsd:element name="documentManagement">
            <xsd:complexType>
              <xsd:all>
                <xsd:element ref="ns2:Location2" minOccurs="0"/>
                <xsd:element ref="ns2:a8642d20-dbc4-4f89-956c-f26ff22b743dCountryOrRegion" minOccurs="0"/>
                <xsd:element ref="ns2:a8642d20-dbc4-4f89-956c-f26ff22b743dState" minOccurs="0"/>
                <xsd:element ref="ns2:a8642d20-dbc4-4f89-956c-f26ff22b743dCity" minOccurs="0"/>
                <xsd:element ref="ns2:a8642d20-dbc4-4f89-956c-f26ff22b743dPostalCode" minOccurs="0"/>
                <xsd:element ref="ns2:a8642d20-dbc4-4f89-956c-f26ff22b743dStreet" minOccurs="0"/>
                <xsd:element ref="ns2:a8642d20-dbc4-4f89-956c-f26ff22b743dGeoLoc" minOccurs="0"/>
                <xsd:element ref="ns2:a8642d20-dbc4-4f89-956c-f26ff22b743dDispName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a70dca-5c52-4a34-92cc-f1f857dfe3f4" elementFormDefault="qualified">
    <xsd:import namespace="http://schemas.microsoft.com/office/2006/documentManagement/types"/>
    <xsd:import namespace="http://schemas.microsoft.com/office/infopath/2007/PartnerControls"/>
    <xsd:element name="Location2" ma:index="5" nillable="true" ma:displayName="Location2" ma:internalName="Location2" ma:readOnly="false">
      <xsd:simpleType>
        <xsd:restriction base="dms:Unknown"/>
      </xsd:simpleType>
    </xsd:element>
    <xsd:element name="a8642d20-dbc4-4f89-956c-f26ff22b743dCountryOrRegion" ma:index="9" nillable="true" ma:displayName="Location2: Country/Region" ma:internalName="CountryOrRegion" ma:readOnly="true">
      <xsd:simpleType>
        <xsd:restriction base="dms:Text"/>
      </xsd:simpleType>
    </xsd:element>
    <xsd:element name="a8642d20-dbc4-4f89-956c-f26ff22b743dState" ma:index="10" nillable="true" ma:displayName="Location2: State" ma:internalName="State" ma:readOnly="true">
      <xsd:simpleType>
        <xsd:restriction base="dms:Text"/>
      </xsd:simpleType>
    </xsd:element>
    <xsd:element name="a8642d20-dbc4-4f89-956c-f26ff22b743dCity" ma:index="11" nillable="true" ma:displayName="Location2: City" ma:internalName="City" ma:readOnly="true">
      <xsd:simpleType>
        <xsd:restriction base="dms:Text"/>
      </xsd:simpleType>
    </xsd:element>
    <xsd:element name="a8642d20-dbc4-4f89-956c-f26ff22b743dPostalCode" ma:index="12" nillable="true" ma:displayName="Location2: Postal Code" ma:internalName="PostalCode" ma:readOnly="true">
      <xsd:simpleType>
        <xsd:restriction base="dms:Text"/>
      </xsd:simpleType>
    </xsd:element>
    <xsd:element name="a8642d20-dbc4-4f89-956c-f26ff22b743dStreet" ma:index="13" nillable="true" ma:displayName="Location2: Street" ma:internalName="Street" ma:readOnly="true">
      <xsd:simpleType>
        <xsd:restriction base="dms:Text"/>
      </xsd:simpleType>
    </xsd:element>
    <xsd:element name="a8642d20-dbc4-4f89-956c-f26ff22b743dGeoLoc" ma:index="14" nillable="true" ma:displayName="Location2: Coordinates" ma:internalName="GeoLoc" ma:readOnly="true">
      <xsd:simpleType>
        <xsd:restriction base="dms:Unknown"/>
      </xsd:simpleType>
    </xsd:element>
    <xsd:element name="a8642d20-dbc4-4f89-956c-f26ff22b743dDispName" ma:index="15" nillable="true" ma:displayName="Location2: Name" ma:internalName="DispName" ma:readOnly="true">
      <xsd:simpleType>
        <xsd:restriction base="dms:Text"/>
      </xsd:simpleType>
    </xsd:element>
    <xsd:element name="MediaServiceMetadata" ma:index="1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ea06dc81-7351-40b9-acc0-3b5a169b4e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5fc2e2-3267-417e-9a46-2302bf4c9859" elementFormDefault="qualified">
    <xsd:import namespace="http://schemas.microsoft.com/office/2006/documentManagement/types"/>
    <xsd:import namespace="http://schemas.microsoft.com/office/infopath/2007/PartnerControls"/>
    <xsd:element name="TaxCatchAll" ma:index="26" nillable="true" ma:displayName="Taxonomy Catch All Column" ma:hidden="true" ma:list="{74b4c951-936d-414f-9893-f3ed6bec2ee8}" ma:internalName="TaxCatchAll" ma:showField="CatchAllData" ma:web="765fc2e2-3267-417e-9a46-2302bf4c985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a70dca-5c52-4a34-92cc-f1f857dfe3f4">
      <Terms xmlns="http://schemas.microsoft.com/office/infopath/2007/PartnerControls"/>
    </lcf76f155ced4ddcb4097134ff3c332f>
    <TaxCatchAll xmlns="765fc2e2-3267-417e-9a46-2302bf4c9859" xsi:nil="true"/>
    <Location2 xmlns="bfa70dca-5c52-4a34-92cc-f1f857dfe3f4" xsi:nil="true"/>
    <a8642d20-dbc4-4f89-956c-f26ff22b743dPostalCode xmlns="bfa70dca-5c52-4a34-92cc-f1f857dfe3f4" xsi:nil="true"/>
    <a8642d20-dbc4-4f89-956c-f26ff22b743dDispName xmlns="bfa70dca-5c52-4a34-92cc-f1f857dfe3f4" xsi:nil="true"/>
    <a8642d20-dbc4-4f89-956c-f26ff22b743dCountryOrRegion xmlns="bfa70dca-5c52-4a34-92cc-f1f857dfe3f4" xsi:nil="true"/>
    <a8642d20-dbc4-4f89-956c-f26ff22b743dState xmlns="bfa70dca-5c52-4a34-92cc-f1f857dfe3f4" xsi:nil="true"/>
    <a8642d20-dbc4-4f89-956c-f26ff22b743dGeoLoc xmlns="bfa70dca-5c52-4a34-92cc-f1f857dfe3f4" xsi:nil="true"/>
    <a8642d20-dbc4-4f89-956c-f26ff22b743dCity xmlns="bfa70dca-5c52-4a34-92cc-f1f857dfe3f4" xsi:nil="true"/>
    <a8642d20-dbc4-4f89-956c-f26ff22b743dStreet xmlns="bfa70dca-5c52-4a34-92cc-f1f857dfe3f4" xsi:nil="true"/>
  </documentManagement>
</p:properties>
</file>

<file path=customXml/itemProps1.xml><?xml version="1.0" encoding="utf-8"?>
<ds:datastoreItem xmlns:ds="http://schemas.openxmlformats.org/officeDocument/2006/customXml" ds:itemID="{5834F66D-3880-4082-AC06-EFEBA965C671}"/>
</file>

<file path=customXml/itemProps2.xml><?xml version="1.0" encoding="utf-8"?>
<ds:datastoreItem xmlns:ds="http://schemas.openxmlformats.org/officeDocument/2006/customXml" ds:itemID="{E2265162-3CD2-480D-9550-0871585BD8F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C69F02-12A7-4FDF-8E40-691A80BD2748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a8ba8303-c3ce-448f-9359-c0260dd31e3f"/>
    <ds:schemaRef ds:uri="5c82095d-2639-4d59-8b36-3f047c94a50f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Overview</vt:lpstr>
      <vt:lpstr>Tasks</vt:lpstr>
      <vt:lpstr>Map</vt:lpstr>
      <vt:lpstr>Summary</vt:lpstr>
      <vt:lpstr>Definition</vt:lpstr>
      <vt:lpstr>Overview!Extract</vt:lpstr>
      <vt:lpstr>Summary!Extract</vt:lpstr>
      <vt:lpstr>Map!workflow_element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 Skjødt</dc:creator>
  <cp:keywords/>
  <dc:description/>
  <cp:lastModifiedBy>Christian Skjødt</cp:lastModifiedBy>
  <cp:revision/>
  <dcterms:created xsi:type="dcterms:W3CDTF">2021-10-27T08:31:57Z</dcterms:created>
  <dcterms:modified xsi:type="dcterms:W3CDTF">2023-08-16T11:05:48Z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0x01010068F0C7DA263C8F4386142D799DBC8129</vt:lpwstr>
  </property>
  <property fmtid="{D5CDD505-2E9C-101B-9397-08002B2CF9AE}" pid="3" name="MediaServiceImageTags">
    <vt:lpwstr/>
  </property>
  <property fmtid="{D5CDD505-2E9C-101B-9397-08002B2CF9AE}" pid="4" name="Order">
    <vt:r8>12064900</vt:r8>
  </property>
  <property fmtid="{D5CDD505-2E9C-101B-9397-08002B2CF9AE}" pid="5" name="_ExtendedDescription">
    <vt:lpwstr/>
  </property>
</Properties>
</file>