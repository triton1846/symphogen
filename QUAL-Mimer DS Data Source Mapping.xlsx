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csk\AppData\Local\VaultFileManagerFiles\Files\Documents\"/>
    </mc:Choice>
  </mc:AlternateContent>
  <xr:revisionPtr revIDLastSave="0" documentId="13_ncr:1_{960D2D38-7923-4110-B43F-74CAEF27AF28}" xr6:coauthVersionLast="47" xr6:coauthVersionMax="47" xr10:uidLastSave="{00000000-0000-0000-0000-000000000000}"/>
  <bookViews>
    <workbookView xWindow="28680" yWindow="60" windowWidth="16440" windowHeight="28320" xr2:uid="{44588268-E947-48FD-A7CB-A79F9F7BF366}"/>
  </bookViews>
  <sheets>
    <sheet name="Data Sources" sheetId="1" r:id="rId1"/>
    <sheet name="Definition" sheetId="5" r:id="rId2"/>
  </sheets>
  <definedNames>
    <definedName name="_xlnm._FilterDatabase" localSheetId="0" hidden="1">'Data Sources'!$A$1:$J$1</definedName>
    <definedName name="_xlnm._FilterDatabase" localSheetId="1" hidden="1">Definition!$A$1:$B$11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4" i="1" l="1"/>
  <c r="I63" i="1"/>
  <c r="I6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36" i="1"/>
  <c r="I15" i="1"/>
  <c r="I69" i="1"/>
  <c r="I14" i="1"/>
  <c r="I48" i="1"/>
  <c r="I40" i="1"/>
  <c r="I4" i="1" l="1"/>
  <c r="I47" i="1"/>
  <c r="I46" i="1"/>
  <c r="I61" i="1"/>
  <c r="I60" i="1"/>
  <c r="I59" i="1"/>
  <c r="I58" i="1"/>
  <c r="I57" i="1"/>
  <c r="I56" i="1"/>
  <c r="I26" i="1"/>
  <c r="I31" i="1"/>
  <c r="I30" i="1"/>
  <c r="I35" i="1"/>
  <c r="I34" i="1"/>
  <c r="I33" i="1"/>
  <c r="I32" i="1"/>
  <c r="I29" i="1"/>
  <c r="I17" i="1"/>
  <c r="I16" i="1"/>
  <c r="I21" i="1"/>
  <c r="I20" i="1"/>
  <c r="I42" i="1"/>
  <c r="I19" i="1"/>
  <c r="I13" i="1"/>
  <c r="I18" i="1"/>
  <c r="I12" i="1"/>
  <c r="I11" i="1"/>
  <c r="I10" i="1"/>
  <c r="I25" i="1"/>
  <c r="I8" i="1"/>
  <c r="I38" i="1"/>
  <c r="I45" i="1"/>
  <c r="I44" i="1"/>
  <c r="I39" i="1"/>
  <c r="I55" i="1"/>
  <c r="I51" i="1"/>
  <c r="I54" i="1"/>
  <c r="I53" i="1"/>
  <c r="I50" i="1"/>
  <c r="I41" i="1"/>
  <c r="I52" i="1"/>
  <c r="I67" i="1"/>
  <c r="I49" i="1"/>
  <c r="I23" i="1"/>
  <c r="I66" i="1"/>
  <c r="I68" i="1"/>
  <c r="I24" i="1"/>
  <c r="I37" i="1"/>
  <c r="I22" i="1"/>
  <c r="I28" i="1"/>
  <c r="I27" i="1"/>
  <c r="I65" i="1"/>
  <c r="I9" i="1"/>
  <c r="I2" i="1"/>
  <c r="I3" i="1"/>
  <c r="I6" i="1"/>
  <c r="I7" i="1"/>
  <c r="I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 Skjødt</author>
  </authors>
  <commentList>
    <comment ref="C1" authorId="0" shapeId="0" xr:uid="{E9589314-EA50-4885-8320-551372922A05}">
      <text>
        <r>
          <rPr>
            <b/>
            <sz val="9"/>
            <color indexed="81"/>
            <rFont val="Tahoma"/>
            <family val="2"/>
          </rPr>
          <t>Christian Skjødt:</t>
        </r>
        <r>
          <rPr>
            <sz val="9"/>
            <color indexed="81"/>
            <rFont val="Tahoma"/>
            <family val="2"/>
          </rPr>
          <t xml:space="preserve">
Name of data source. </t>
        </r>
        <r>
          <rPr>
            <b/>
            <sz val="9"/>
            <color indexed="81"/>
            <rFont val="Tahoma"/>
            <family val="2"/>
          </rPr>
          <t>Make sure the name is accurate</t>
        </r>
        <r>
          <rPr>
            <sz val="9"/>
            <color indexed="81"/>
            <rFont val="Tahoma"/>
            <family val="2"/>
          </rPr>
          <t xml:space="preserve"> </t>
        </r>
        <r>
          <rPr>
            <b/>
            <sz val="9"/>
            <color indexed="81"/>
            <rFont val="Tahoma"/>
            <family val="2"/>
          </rPr>
          <t>and SME approved</t>
        </r>
        <r>
          <rPr>
            <sz val="9"/>
            <color indexed="81"/>
            <rFont val="Tahoma"/>
            <family val="2"/>
          </rPr>
          <t xml:space="preserve"> as this will be the official name</t>
        </r>
      </text>
    </comment>
    <comment ref="D1" authorId="0" shapeId="0" xr:uid="{C0AA5DCE-9D1C-440C-AB86-09DDE2D80883}">
      <text>
        <r>
          <rPr>
            <b/>
            <sz val="9"/>
            <color indexed="81"/>
            <rFont val="Tahoma"/>
            <family val="2"/>
          </rPr>
          <t>Christian Skjødt:</t>
        </r>
        <r>
          <rPr>
            <sz val="9"/>
            <color indexed="81"/>
            <rFont val="Tahoma"/>
            <family val="2"/>
          </rPr>
          <t xml:space="preserve">
Describe the primary purpose of the data source, e.g. vicell_xr is a cell counter used for cell counting</t>
        </r>
      </text>
    </comment>
    <comment ref="E1" authorId="0" shapeId="0" xr:uid="{58148532-8F34-420D-AD2B-6BA7CE80C5AF}">
      <text>
        <r>
          <rPr>
            <b/>
            <sz val="9"/>
            <color indexed="81"/>
            <rFont val="Tahoma"/>
            <family val="2"/>
          </rPr>
          <t>Christian Skjødt:</t>
        </r>
        <r>
          <rPr>
            <sz val="9"/>
            <color indexed="81"/>
            <rFont val="Tahoma"/>
            <family val="2"/>
          </rPr>
          <t xml:space="preserve">
Who is responsible for the data source and understands details related to the data source</t>
        </r>
      </text>
    </comment>
    <comment ref="F1" authorId="0" shapeId="0" xr:uid="{F45D8D2E-58B6-4FF0-A115-FF2574F2D371}">
      <text>
        <r>
          <rPr>
            <b/>
            <sz val="9"/>
            <color indexed="81"/>
            <rFont val="Tahoma"/>
            <family val="2"/>
          </rPr>
          <t>Christian Skjødt:</t>
        </r>
        <r>
          <rPr>
            <sz val="9"/>
            <color indexed="81"/>
            <rFont val="Tahoma"/>
            <family val="2"/>
          </rPr>
          <t xml:space="preserve">
What is the current data transfer time of one data source output, from data generation from the data source to 'ready for analysis' by the SME
This is SMEs best guess according to SME assumptions, which should be a generic use case</t>
        </r>
      </text>
    </comment>
    <comment ref="H1" authorId="0" shapeId="0" xr:uid="{FCBAB8AD-F037-42BA-A791-ADA6240387DC}">
      <text>
        <r>
          <rPr>
            <b/>
            <sz val="9"/>
            <color indexed="81"/>
            <rFont val="Tahoma"/>
            <family val="2"/>
          </rPr>
          <t>Christian Skjødt:</t>
        </r>
        <r>
          <rPr>
            <sz val="9"/>
            <color indexed="81"/>
            <rFont val="Tahoma"/>
            <family val="2"/>
          </rPr>
          <t xml:space="preserve">
What is the data transfer time </t>
        </r>
        <r>
          <rPr>
            <b/>
            <sz val="9"/>
            <color indexed="81"/>
            <rFont val="Tahoma"/>
            <family val="2"/>
          </rPr>
          <t>after implementation in Mimer</t>
        </r>
        <r>
          <rPr>
            <sz val="9"/>
            <color indexed="81"/>
            <rFont val="Tahoma"/>
            <family val="2"/>
          </rPr>
          <t xml:space="preserve"> of one data source output, from data generation from the data source to 'ready for analysis' by the SME
This is SMEs best guess according to SME assumptions, which should be a generic use case</t>
        </r>
      </text>
    </comment>
    <comment ref="I1" authorId="0" shapeId="0" xr:uid="{9A190F16-EA64-45F8-BFDC-F411053ED028}">
      <text>
        <r>
          <rPr>
            <b/>
            <sz val="9"/>
            <color indexed="81"/>
            <rFont val="Tahoma"/>
            <family val="2"/>
          </rPr>
          <t>Christian Skjødt:</t>
        </r>
        <r>
          <rPr>
            <sz val="9"/>
            <color indexed="81"/>
            <rFont val="Tahoma"/>
            <family val="2"/>
          </rPr>
          <t xml:space="preserve">
Calculates how much time [min] is saved by Mimer on a given workflow</t>
        </r>
      </text>
    </comment>
  </commentList>
</comments>
</file>

<file path=xl/sharedStrings.xml><?xml version="1.0" encoding="utf-8"?>
<sst xmlns="http://schemas.openxmlformats.org/spreadsheetml/2006/main" count="513" uniqueCount="155">
  <si>
    <t>Scientific area</t>
  </si>
  <si>
    <t>Description</t>
  </si>
  <si>
    <t>SME</t>
  </si>
  <si>
    <t>Job size</t>
  </si>
  <si>
    <t>cell_culture</t>
  </si>
  <si>
    <t>abl80</t>
  </si>
  <si>
    <t>ph_gas</t>
  </si>
  <si>
    <t>JWA</t>
  </si>
  <si>
    <t>bioreactor</t>
  </si>
  <si>
    <t>ambr250</t>
  </si>
  <si>
    <t>bioprofile_100</t>
  </si>
  <si>
    <t>metabolites</t>
  </si>
  <si>
    <t>CEH</t>
  </si>
  <si>
    <t>cedex_bioht</t>
  </si>
  <si>
    <t>vicell_blu</t>
  </si>
  <si>
    <t>cell_count</t>
  </si>
  <si>
    <t>SKR</t>
  </si>
  <si>
    <t>vicell_xr</t>
  </si>
  <si>
    <t>wave</t>
  </si>
  <si>
    <t>cell_line_generation</t>
  </si>
  <si>
    <t>IgG</t>
  </si>
  <si>
    <t>hamilton</t>
  </si>
  <si>
    <t>liquid_handler</t>
  </si>
  <si>
    <t>cell_metric</t>
  </si>
  <si>
    <t>cell_visualizer</t>
  </si>
  <si>
    <t>cytena</t>
  </si>
  <si>
    <t>single_cell_printer</t>
  </si>
  <si>
    <t>guava</t>
  </si>
  <si>
    <t>controlled_rate_freezer</t>
  </si>
  <si>
    <t>cell_freeze</t>
  </si>
  <si>
    <t>NPE</t>
  </si>
  <si>
    <t>accu_check</t>
  </si>
  <si>
    <t>glucose</t>
  </si>
  <si>
    <t>nanodrop</t>
  </si>
  <si>
    <t>dna_conc</t>
  </si>
  <si>
    <t>dna_gel_picture</t>
  </si>
  <si>
    <t>southern_blot</t>
  </si>
  <si>
    <t>formulation</t>
  </si>
  <si>
    <t>Comment</t>
  </si>
  <si>
    <t>Department</t>
  </si>
  <si>
    <t>DS</t>
  </si>
  <si>
    <t>DP</t>
  </si>
  <si>
    <t>CA</t>
  </si>
  <si>
    <t>drug_product_manufacturing</t>
  </si>
  <si>
    <t>stability</t>
  </si>
  <si>
    <t>downstream</t>
  </si>
  <si>
    <t>analytical_coordination</t>
  </si>
  <si>
    <t>mass_spectrometry</t>
  </si>
  <si>
    <t>analytical_support</t>
  </si>
  <si>
    <t>biophysical_characterization</t>
  </si>
  <si>
    <t>Data source</t>
  </si>
  <si>
    <t>small</t>
  </si>
  <si>
    <t>medium</t>
  </si>
  <si>
    <t>large</t>
  </si>
  <si>
    <t>very large</t>
  </si>
  <si>
    <t>Current data transfer time [min]</t>
  </si>
  <si>
    <t>Mimer data transfer time [min]</t>
  </si>
  <si>
    <t>balance</t>
  </si>
  <si>
    <t>Data transfer time improvement [min]</t>
  </si>
  <si>
    <t>approved</t>
  </si>
  <si>
    <t>Status</t>
  </si>
  <si>
    <t>EP</t>
  </si>
  <si>
    <t>RNAseq</t>
  </si>
  <si>
    <t>cogent_m1_tff</t>
  </si>
  <si>
    <t>cogent_micro_tff</t>
  </si>
  <si>
    <t>octet_qk</t>
  </si>
  <si>
    <t>rna_seq</t>
  </si>
  <si>
    <t>dna_seq</t>
  </si>
  <si>
    <t>bioprofile_flex2</t>
  </si>
  <si>
    <t>OLMI</t>
  </si>
  <si>
    <t>xdr_10</t>
  </si>
  <si>
    <t>xdr_50</t>
  </si>
  <si>
    <t>SIOL</t>
  </si>
  <si>
    <t>inoculation</t>
  </si>
  <si>
    <t>inoculation calculations</t>
  </si>
  <si>
    <t>xdr_monitoring</t>
  </si>
  <si>
    <t>daily monitoring during lab work</t>
  </si>
  <si>
    <t>shaker_monitoring</t>
  </si>
  <si>
    <t>file</t>
  </si>
  <si>
    <t>field</t>
  </si>
  <si>
    <t>manual</t>
  </si>
  <si>
    <t>unicorn file</t>
  </si>
  <si>
    <t>batch documentation</t>
  </si>
  <si>
    <t>protein_concentation</t>
  </si>
  <si>
    <t>tff file</t>
  </si>
  <si>
    <t>CoA</t>
  </si>
  <si>
    <t>gravity_template</t>
  </si>
  <si>
    <t>manual datasource, part of template</t>
  </si>
  <si>
    <t>CHUS</t>
  </si>
  <si>
    <t>deltaV file from CMO</t>
  </si>
  <si>
    <t>manually inserted cell counts</t>
  </si>
  <si>
    <t>manually inserted  metabolites, ph, gas</t>
  </si>
  <si>
    <t>daily monitoring during batch</t>
  </si>
  <si>
    <t>IPCs from BPR</t>
  </si>
  <si>
    <t>CSK</t>
  </si>
  <si>
    <t>image</t>
  </si>
  <si>
    <t>file, image</t>
  </si>
  <si>
    <t>seed_train</t>
  </si>
  <si>
    <t>plate_seed_train</t>
  </si>
  <si>
    <t>seed train monitoring</t>
  </si>
  <si>
    <t>plate seed train monitoring</t>
  </si>
  <si>
    <t>plasmid_prep</t>
  </si>
  <si>
    <t>EP plasmid preparation</t>
  </si>
  <si>
    <t>plasmid_digest</t>
  </si>
  <si>
    <t>EP plasmid digest</t>
  </si>
  <si>
    <t>identified</t>
  </si>
  <si>
    <t>described</t>
  </si>
  <si>
    <t>in implementation</t>
  </si>
  <si>
    <t>in testing</t>
  </si>
  <si>
    <t>linearization</t>
  </si>
  <si>
    <t>transfection</t>
  </si>
  <si>
    <t>EP plasmid linearization</t>
  </si>
  <si>
    <t>EP plasmid transfection</t>
  </si>
  <si>
    <t>cell_banking</t>
  </si>
  <si>
    <t>cell banking in vials from seed train</t>
  </si>
  <si>
    <t>hamilton worklist for dilution</t>
  </si>
  <si>
    <t>worklist_dilute_96dw</t>
  </si>
  <si>
    <t>clarification</t>
  </si>
  <si>
    <t>gmp_spec</t>
  </si>
  <si>
    <t>gmp_bioreactor</t>
  </si>
  <si>
    <t>gmp_fedbatch_monitoring</t>
  </si>
  <si>
    <t>manually inserted clarification data</t>
  </si>
  <si>
    <t>ipc</t>
  </si>
  <si>
    <t>obsolete</t>
  </si>
  <si>
    <t>gmp_seed_train</t>
  </si>
  <si>
    <t>ambr15_simca</t>
  </si>
  <si>
    <t>ambr15_audit_trail</t>
  </si>
  <si>
    <t>plate fedbatch monitoring</t>
  </si>
  <si>
    <t>plate_fedbatch_monitoring</t>
  </si>
  <si>
    <t>celigo</t>
  </si>
  <si>
    <t>gravity_purification</t>
  </si>
  <si>
    <t>ph_conductivity</t>
  </si>
  <si>
    <t>virus_validation</t>
  </si>
  <si>
    <t>polishing</t>
  </si>
  <si>
    <t>filtration</t>
  </si>
  <si>
    <t>uf_df</t>
  </si>
  <si>
    <t>virus_filtration</t>
  </si>
  <si>
    <t>capture_and_virus_inact</t>
  </si>
  <si>
    <t>template</t>
  </si>
  <si>
    <t>hamilton worklist</t>
  </si>
  <si>
    <t>targeted_locus_amplification</t>
  </si>
  <si>
    <t>next generation sequencing on cell lines</t>
  </si>
  <si>
    <t>plasmid_copy_number</t>
  </si>
  <si>
    <t>Servier Saclay sequencing data</t>
  </si>
  <si>
    <t>upsight</t>
  </si>
  <si>
    <t>virus_inactivation</t>
  </si>
  <si>
    <t>filling</t>
  </si>
  <si>
    <t>part of gmp_purification</t>
  </si>
  <si>
    <t>capture_chrom</t>
  </si>
  <si>
    <t>nano_filtration</t>
  </si>
  <si>
    <t>membrane_chrom</t>
  </si>
  <si>
    <t>column_chrom</t>
  </si>
  <si>
    <t>gmp_purification</t>
  </si>
  <si>
    <t>octet_rh96</t>
  </si>
  <si>
    <t>unicorn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</si>
</sst>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6">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0" fillId="2" borderId="0" xfId="0" applyFill="1"/>
    <xf numFmtId="0" fontId="0" fillId="2" borderId="0" xfId="0" applyFill="1" applyAlignment="1">
      <alignment vertical="center"/>
    </xf>
    <xf numFmtId="0" fontId="0" fillId="0" borderId="0" xfId="0" applyAlignment="1">
      <alignment wrapText="1"/>
    </xf>
    <xf numFmtId="0" fontId="1" fillId="2" borderId="0" xfId="0" applyFont="1" applyFill="1" applyAlignment="1" applyProtection="1">
      <alignment vertical="center" wrapText="1"/>
      <protection locked="0"/>
    </xf>
    <xf numFmtId="0" fontId="0" fillId="3" borderId="0" xfId="0" applyFill="1" applyProtection="1">
      <protection locked="0"/>
    </xf>
    <xf numFmtId="0" fontId="0" fillId="5" borderId="0" xfId="0" applyFill="1" applyProtection="1">
      <protection locked="0"/>
    </xf>
    <xf numFmtId="0" fontId="0" fillId="4" borderId="0" xfId="0" applyFill="1" applyProtection="1">
      <protection locked="0"/>
    </xf>
    <xf numFmtId="0" fontId="0" fillId="0" borderId="0" xfId="0" applyProtection="1">
      <protection locked="0"/>
    </xf>
    <xf numFmtId="0" fontId="0" fillId="3" borderId="0" xfId="0" applyFill="1"/>
  </cellXfs>
  <cellStyles count="1">
    <cellStyle name="Normal" xfId="0" builtinId="0"/>
  </cellStyles>
  <dxfs count="6">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58AEA-7FEE-40EF-AA10-43C66A1CBD45}">
  <sheetPr>
    <tabColor rgb="FF92D050"/>
  </sheetPr>
  <dimension ref="A1:J109"/>
  <sheetViews>
    <sheetView tabSelected="1" zoomScale="55" zoomScaleNormal="55" workbookViewId="0">
      <pane ySplit="1" topLeftCell="A2" activePane="bottomLeft" state="frozen"/>
      <selection pane="bottomLeft" activeCell="J49" sqref="J49"/>
    </sheetView>
  </sheetViews>
  <sheetFormatPr defaultRowHeight="15" x14ac:dyDescent="0.25"/>
  <cols>
    <col min="1" max="1" width="11.7109375" style="9" bestFit="1" customWidth="1"/>
    <col min="2" max="2" width="20.7109375" style="9" bestFit="1" customWidth="1"/>
    <col min="3" max="3" width="28.85546875" style="9" bestFit="1" customWidth="1"/>
    <col min="4" max="4" width="39.85546875" style="9" bestFit="1" customWidth="1"/>
    <col min="5" max="5" width="5.85546875" style="9" bestFit="1" customWidth="1"/>
    <col min="6" max="6" width="19.7109375" style="9" bestFit="1" customWidth="1"/>
    <col min="7" max="7" width="26.7109375" style="9" bestFit="1" customWidth="1"/>
    <col min="8" max="8" width="19" style="9" bestFit="1" customWidth="1"/>
    <col min="9" max="9" width="18.7109375" bestFit="1" customWidth="1"/>
    <col min="10" max="10" width="18.85546875" style="9" bestFit="1" customWidth="1"/>
  </cols>
  <sheetData>
    <row r="1" spans="1:10" s="4" customFormat="1" ht="30" x14ac:dyDescent="0.25">
      <c r="A1" s="5" t="s">
        <v>39</v>
      </c>
      <c r="B1" s="5" t="s">
        <v>0</v>
      </c>
      <c r="C1" s="5" t="s">
        <v>50</v>
      </c>
      <c r="D1" s="5" t="s">
        <v>1</v>
      </c>
      <c r="E1" s="5" t="s">
        <v>2</v>
      </c>
      <c r="F1" s="5" t="s">
        <v>55</v>
      </c>
      <c r="G1" s="5" t="s">
        <v>38</v>
      </c>
      <c r="H1" s="5" t="s">
        <v>56</v>
      </c>
      <c r="I1" s="1" t="s">
        <v>58</v>
      </c>
      <c r="J1" s="5" t="s">
        <v>60</v>
      </c>
    </row>
    <row r="2" spans="1:10" x14ac:dyDescent="0.25">
      <c r="A2" s="6" t="s">
        <v>40</v>
      </c>
      <c r="B2" s="6" t="s">
        <v>4</v>
      </c>
      <c r="C2" s="6" t="s">
        <v>17</v>
      </c>
      <c r="D2" s="6" t="s">
        <v>15</v>
      </c>
      <c r="E2" s="6" t="s">
        <v>16</v>
      </c>
      <c r="F2" s="6">
        <v>3</v>
      </c>
      <c r="G2" s="7" t="s">
        <v>78</v>
      </c>
      <c r="H2" s="8">
        <v>1</v>
      </c>
      <c r="I2" s="2">
        <f t="shared" ref="I2:I42" si="0">IF(H2="","",F2-H2)</f>
        <v>2</v>
      </c>
      <c r="J2" s="9" t="s">
        <v>59</v>
      </c>
    </row>
    <row r="3" spans="1:10" x14ac:dyDescent="0.25">
      <c r="A3" s="6" t="s">
        <v>40</v>
      </c>
      <c r="B3" s="6" t="s">
        <v>4</v>
      </c>
      <c r="C3" s="6" t="s">
        <v>14</v>
      </c>
      <c r="D3" s="6" t="s">
        <v>15</v>
      </c>
      <c r="E3" s="6" t="s">
        <v>16</v>
      </c>
      <c r="F3" s="6">
        <v>3</v>
      </c>
      <c r="G3" s="7" t="s">
        <v>78</v>
      </c>
      <c r="H3" s="8">
        <v>1</v>
      </c>
      <c r="I3" s="2">
        <f t="shared" si="0"/>
        <v>2</v>
      </c>
      <c r="J3" s="9" t="s">
        <v>59</v>
      </c>
    </row>
    <row r="4" spans="1:10" x14ac:dyDescent="0.25">
      <c r="A4" s="6" t="s">
        <v>40</v>
      </c>
      <c r="B4" s="6" t="s">
        <v>4</v>
      </c>
      <c r="C4" s="6" t="s">
        <v>5</v>
      </c>
      <c r="D4" s="6" t="s">
        <v>6</v>
      </c>
      <c r="E4" s="6" t="s">
        <v>7</v>
      </c>
      <c r="F4" s="6">
        <v>3</v>
      </c>
      <c r="G4" s="7" t="s">
        <v>79</v>
      </c>
      <c r="H4" s="8">
        <v>3</v>
      </c>
      <c r="I4" s="2">
        <f t="shared" si="0"/>
        <v>0</v>
      </c>
      <c r="J4" s="9" t="s">
        <v>59</v>
      </c>
    </row>
    <row r="5" spans="1:10" x14ac:dyDescent="0.25">
      <c r="A5" s="6" t="s">
        <v>40</v>
      </c>
      <c r="B5" s="6" t="s">
        <v>4</v>
      </c>
      <c r="C5" s="6" t="s">
        <v>9</v>
      </c>
      <c r="D5" s="6" t="s">
        <v>8</v>
      </c>
      <c r="E5" s="6" t="s">
        <v>7</v>
      </c>
      <c r="F5" s="6">
        <v>30</v>
      </c>
      <c r="G5" s="7" t="s">
        <v>78</v>
      </c>
      <c r="H5" s="8">
        <v>1</v>
      </c>
      <c r="I5" s="2">
        <f t="shared" si="0"/>
        <v>29</v>
      </c>
      <c r="J5" s="9" t="s">
        <v>59</v>
      </c>
    </row>
    <row r="6" spans="1:10" x14ac:dyDescent="0.25">
      <c r="A6" s="6" t="s">
        <v>40</v>
      </c>
      <c r="B6" s="6" t="s">
        <v>4</v>
      </c>
      <c r="C6" s="6" t="s">
        <v>13</v>
      </c>
      <c r="D6" s="6" t="s">
        <v>11</v>
      </c>
      <c r="E6" s="6" t="s">
        <v>12</v>
      </c>
      <c r="F6" s="6">
        <v>15</v>
      </c>
      <c r="G6" s="7" t="s">
        <v>79</v>
      </c>
      <c r="H6" s="8">
        <v>3</v>
      </c>
      <c r="I6" s="2">
        <f t="shared" si="0"/>
        <v>12</v>
      </c>
      <c r="J6" s="9" t="s">
        <v>59</v>
      </c>
    </row>
    <row r="7" spans="1:10" x14ac:dyDescent="0.25">
      <c r="A7" s="6" t="s">
        <v>40</v>
      </c>
      <c r="B7" s="6" t="s">
        <v>4</v>
      </c>
      <c r="C7" s="6" t="s">
        <v>10</v>
      </c>
      <c r="D7" s="6" t="s">
        <v>11</v>
      </c>
      <c r="E7" s="6" t="s">
        <v>12</v>
      </c>
      <c r="F7" s="6">
        <v>5</v>
      </c>
      <c r="G7" s="7" t="s">
        <v>79</v>
      </c>
      <c r="H7" s="8">
        <v>3</v>
      </c>
      <c r="I7" s="2">
        <f t="shared" si="0"/>
        <v>2</v>
      </c>
      <c r="J7" s="9" t="s">
        <v>59</v>
      </c>
    </row>
    <row r="8" spans="1:10" x14ac:dyDescent="0.25">
      <c r="A8" s="6" t="s">
        <v>40</v>
      </c>
      <c r="B8" s="6" t="s">
        <v>4</v>
      </c>
      <c r="C8" s="6" t="s">
        <v>68</v>
      </c>
      <c r="D8" s="6" t="s">
        <v>11</v>
      </c>
      <c r="E8" s="6" t="s">
        <v>12</v>
      </c>
      <c r="F8" s="6">
        <v>5</v>
      </c>
      <c r="G8" s="7" t="s">
        <v>79</v>
      </c>
      <c r="H8" s="8">
        <v>3</v>
      </c>
      <c r="I8" s="2">
        <f t="shared" si="0"/>
        <v>2</v>
      </c>
      <c r="J8" s="9" t="s">
        <v>59</v>
      </c>
    </row>
    <row r="9" spans="1:10" x14ac:dyDescent="0.25">
      <c r="A9" s="6" t="s">
        <v>40</v>
      </c>
      <c r="B9" s="6" t="s">
        <v>4</v>
      </c>
      <c r="C9" s="6" t="s">
        <v>71</v>
      </c>
      <c r="D9" s="6" t="s">
        <v>8</v>
      </c>
      <c r="E9" s="6" t="s">
        <v>7</v>
      </c>
      <c r="F9" s="6">
        <v>30</v>
      </c>
      <c r="G9" s="7" t="s">
        <v>78</v>
      </c>
      <c r="H9" s="8">
        <v>1</v>
      </c>
      <c r="I9" s="2">
        <f t="shared" si="0"/>
        <v>29</v>
      </c>
      <c r="J9" s="9" t="s">
        <v>59</v>
      </c>
    </row>
    <row r="10" spans="1:10" x14ac:dyDescent="0.25">
      <c r="A10" s="6" t="s">
        <v>40</v>
      </c>
      <c r="B10" s="6" t="s">
        <v>4</v>
      </c>
      <c r="C10" s="6" t="s">
        <v>73</v>
      </c>
      <c r="D10" s="6" t="s">
        <v>74</v>
      </c>
      <c r="E10" s="6" t="s">
        <v>12</v>
      </c>
      <c r="F10" s="6">
        <v>3</v>
      </c>
      <c r="G10" s="7" t="s">
        <v>80</v>
      </c>
      <c r="H10" s="8">
        <v>1</v>
      </c>
      <c r="I10" s="2">
        <f t="shared" si="0"/>
        <v>2</v>
      </c>
      <c r="J10" s="9" t="s">
        <v>59</v>
      </c>
    </row>
    <row r="11" spans="1:10" x14ac:dyDescent="0.25">
      <c r="A11" s="6" t="s">
        <v>40</v>
      </c>
      <c r="B11" s="6" t="s">
        <v>4</v>
      </c>
      <c r="C11" s="6" t="s">
        <v>75</v>
      </c>
      <c r="D11" s="6" t="s">
        <v>76</v>
      </c>
      <c r="E11" s="6" t="s">
        <v>7</v>
      </c>
      <c r="F11" s="6">
        <v>20</v>
      </c>
      <c r="G11" s="7" t="s">
        <v>80</v>
      </c>
      <c r="H11" s="8">
        <v>10</v>
      </c>
      <c r="I11" s="2">
        <f t="shared" si="0"/>
        <v>10</v>
      </c>
      <c r="J11" s="9" t="s">
        <v>59</v>
      </c>
    </row>
    <row r="12" spans="1:10" x14ac:dyDescent="0.25">
      <c r="A12" s="6" t="s">
        <v>40</v>
      </c>
      <c r="B12" s="6" t="s">
        <v>4</v>
      </c>
      <c r="C12" s="6" t="s">
        <v>77</v>
      </c>
      <c r="D12" s="6" t="s">
        <v>76</v>
      </c>
      <c r="E12" s="6" t="s">
        <v>12</v>
      </c>
      <c r="F12" s="6">
        <v>20</v>
      </c>
      <c r="G12" s="7" t="s">
        <v>80</v>
      </c>
      <c r="H12" s="8">
        <v>10</v>
      </c>
      <c r="I12" s="2">
        <f t="shared" si="0"/>
        <v>10</v>
      </c>
      <c r="J12" s="9" t="s">
        <v>59</v>
      </c>
    </row>
    <row r="13" spans="1:10" x14ac:dyDescent="0.25">
      <c r="A13" s="6" t="s">
        <v>40</v>
      </c>
      <c r="B13" s="6" t="s">
        <v>4</v>
      </c>
      <c r="C13" s="6" t="s">
        <v>117</v>
      </c>
      <c r="D13" s="6" t="s">
        <v>121</v>
      </c>
      <c r="E13" s="6" t="s">
        <v>94</v>
      </c>
      <c r="F13" s="6">
        <v>15</v>
      </c>
      <c r="G13" s="7" t="s">
        <v>80</v>
      </c>
      <c r="H13" s="8">
        <v>10</v>
      </c>
      <c r="I13" s="2">
        <f t="shared" si="0"/>
        <v>5</v>
      </c>
      <c r="J13" s="9" t="s">
        <v>59</v>
      </c>
    </row>
    <row r="14" spans="1:10" x14ac:dyDescent="0.25">
      <c r="A14" s="6" t="s">
        <v>40</v>
      </c>
      <c r="B14" s="6" t="s">
        <v>4</v>
      </c>
      <c r="C14" s="6" t="s">
        <v>125</v>
      </c>
      <c r="D14" s="6" t="s">
        <v>8</v>
      </c>
      <c r="E14" s="6" t="s">
        <v>94</v>
      </c>
      <c r="F14" s="6">
        <v>25</v>
      </c>
      <c r="G14" s="7" t="s">
        <v>78</v>
      </c>
      <c r="H14" s="8">
        <v>5</v>
      </c>
      <c r="I14" s="2">
        <f t="shared" si="0"/>
        <v>20</v>
      </c>
      <c r="J14" s="9" t="s">
        <v>59</v>
      </c>
    </row>
    <row r="15" spans="1:10" x14ac:dyDescent="0.25">
      <c r="A15" s="6" t="s">
        <v>40</v>
      </c>
      <c r="B15" s="6" t="s">
        <v>4</v>
      </c>
      <c r="C15" s="6" t="s">
        <v>126</v>
      </c>
      <c r="D15" s="6" t="s">
        <v>8</v>
      </c>
      <c r="E15" s="6" t="s">
        <v>94</v>
      </c>
      <c r="F15" s="6">
        <v>25</v>
      </c>
      <c r="G15" s="7" t="s">
        <v>78</v>
      </c>
      <c r="H15" s="8">
        <v>5</v>
      </c>
      <c r="I15" s="2">
        <f t="shared" si="0"/>
        <v>20</v>
      </c>
      <c r="J15" s="9" t="s">
        <v>59</v>
      </c>
    </row>
    <row r="16" spans="1:10" x14ac:dyDescent="0.25">
      <c r="A16" s="6" t="s">
        <v>40</v>
      </c>
      <c r="B16" s="6" t="s">
        <v>4</v>
      </c>
      <c r="C16" s="6" t="s">
        <v>124</v>
      </c>
      <c r="D16" s="6" t="s">
        <v>92</v>
      </c>
      <c r="E16" s="6" t="s">
        <v>94</v>
      </c>
      <c r="F16" s="6">
        <v>20</v>
      </c>
      <c r="G16" s="7" t="s">
        <v>80</v>
      </c>
      <c r="H16" s="8">
        <v>20</v>
      </c>
      <c r="I16" s="2">
        <f t="shared" si="0"/>
        <v>0</v>
      </c>
      <c r="J16" s="9" t="s">
        <v>59</v>
      </c>
    </row>
    <row r="17" spans="1:10" x14ac:dyDescent="0.25">
      <c r="A17" s="6" t="s">
        <v>40</v>
      </c>
      <c r="B17" s="6" t="s">
        <v>4</v>
      </c>
      <c r="C17" s="6" t="s">
        <v>97</v>
      </c>
      <c r="D17" s="6" t="s">
        <v>99</v>
      </c>
      <c r="E17" s="6" t="s">
        <v>94</v>
      </c>
      <c r="F17" s="6">
        <v>20</v>
      </c>
      <c r="G17" s="7" t="s">
        <v>80</v>
      </c>
      <c r="H17" s="8">
        <v>20</v>
      </c>
      <c r="I17" s="2">
        <f t="shared" si="0"/>
        <v>0</v>
      </c>
      <c r="J17" s="9" t="s">
        <v>59</v>
      </c>
    </row>
    <row r="18" spans="1:10" x14ac:dyDescent="0.25">
      <c r="A18" s="6" t="s">
        <v>40</v>
      </c>
      <c r="B18" s="6" t="s">
        <v>4</v>
      </c>
      <c r="C18" s="6" t="s">
        <v>15</v>
      </c>
      <c r="D18" s="6" t="s">
        <v>90</v>
      </c>
      <c r="E18" s="6" t="s">
        <v>94</v>
      </c>
      <c r="F18" s="6">
        <v>15</v>
      </c>
      <c r="G18" s="7" t="s">
        <v>80</v>
      </c>
      <c r="H18" s="8">
        <v>12</v>
      </c>
      <c r="I18" s="2">
        <f t="shared" si="0"/>
        <v>3</v>
      </c>
      <c r="J18" s="9" t="s">
        <v>59</v>
      </c>
    </row>
    <row r="19" spans="1:10" x14ac:dyDescent="0.25">
      <c r="A19" s="6" t="s">
        <v>40</v>
      </c>
      <c r="B19" s="6" t="s">
        <v>4</v>
      </c>
      <c r="C19" s="6" t="s">
        <v>11</v>
      </c>
      <c r="D19" s="6" t="s">
        <v>91</v>
      </c>
      <c r="E19" s="6" t="s">
        <v>94</v>
      </c>
      <c r="F19" s="6">
        <v>15</v>
      </c>
      <c r="G19" s="7" t="s">
        <v>80</v>
      </c>
      <c r="H19" s="8">
        <v>12</v>
      </c>
      <c r="I19" s="2">
        <f t="shared" si="0"/>
        <v>3</v>
      </c>
      <c r="J19" s="9" t="s">
        <v>59</v>
      </c>
    </row>
    <row r="20" spans="1:10" x14ac:dyDescent="0.25">
      <c r="A20" s="6" t="s">
        <v>40</v>
      </c>
      <c r="B20" s="6" t="s">
        <v>4</v>
      </c>
      <c r="C20" s="6" t="s">
        <v>120</v>
      </c>
      <c r="D20" s="6" t="s">
        <v>92</v>
      </c>
      <c r="E20" s="6" t="s">
        <v>94</v>
      </c>
      <c r="F20" s="6">
        <v>30</v>
      </c>
      <c r="G20" s="7" t="s">
        <v>80</v>
      </c>
      <c r="H20" s="8">
        <v>25</v>
      </c>
      <c r="I20" s="2">
        <f t="shared" si="0"/>
        <v>5</v>
      </c>
      <c r="J20" s="9" t="s">
        <v>59</v>
      </c>
    </row>
    <row r="21" spans="1:10" x14ac:dyDescent="0.25">
      <c r="A21" s="6" t="s">
        <v>40</v>
      </c>
      <c r="B21" s="6" t="s">
        <v>4</v>
      </c>
      <c r="C21" s="6" t="s">
        <v>122</v>
      </c>
      <c r="D21" s="6" t="s">
        <v>93</v>
      </c>
      <c r="E21" s="6" t="s">
        <v>94</v>
      </c>
      <c r="F21" s="6">
        <v>20</v>
      </c>
      <c r="G21" s="7" t="s">
        <v>80</v>
      </c>
      <c r="H21" s="8">
        <v>10</v>
      </c>
      <c r="I21" s="2">
        <f t="shared" si="0"/>
        <v>10</v>
      </c>
      <c r="J21" s="9" t="s">
        <v>59</v>
      </c>
    </row>
    <row r="22" spans="1:10" x14ac:dyDescent="0.25">
      <c r="A22" s="6" t="s">
        <v>40</v>
      </c>
      <c r="B22" s="6" t="s">
        <v>19</v>
      </c>
      <c r="C22" s="6" t="s">
        <v>21</v>
      </c>
      <c r="D22" s="6" t="s">
        <v>22</v>
      </c>
      <c r="E22" s="6" t="s">
        <v>30</v>
      </c>
      <c r="F22" s="6">
        <v>45</v>
      </c>
      <c r="G22" s="7" t="s">
        <v>78</v>
      </c>
      <c r="H22" s="8">
        <v>5</v>
      </c>
      <c r="I22" s="2">
        <f t="shared" si="0"/>
        <v>40</v>
      </c>
      <c r="J22" s="9" t="s">
        <v>59</v>
      </c>
    </row>
    <row r="23" spans="1:10" x14ac:dyDescent="0.25">
      <c r="A23" s="6" t="s">
        <v>40</v>
      </c>
      <c r="B23" s="6" t="s">
        <v>19</v>
      </c>
      <c r="C23" s="6" t="s">
        <v>31</v>
      </c>
      <c r="D23" s="6" t="s">
        <v>32</v>
      </c>
      <c r="E23" s="6" t="s">
        <v>30</v>
      </c>
      <c r="F23" s="6">
        <v>15</v>
      </c>
      <c r="G23" s="7" t="s">
        <v>80</v>
      </c>
      <c r="H23" s="8">
        <v>10</v>
      </c>
      <c r="I23" s="2">
        <f t="shared" si="0"/>
        <v>5</v>
      </c>
      <c r="J23" s="9" t="s">
        <v>59</v>
      </c>
    </row>
    <row r="24" spans="1:10" x14ac:dyDescent="0.25">
      <c r="A24" s="6" t="s">
        <v>40</v>
      </c>
      <c r="B24" s="6" t="s">
        <v>19</v>
      </c>
      <c r="C24" s="6" t="s">
        <v>27</v>
      </c>
      <c r="D24" s="6" t="s">
        <v>15</v>
      </c>
      <c r="E24" s="6" t="s">
        <v>30</v>
      </c>
      <c r="F24" s="6">
        <v>30</v>
      </c>
      <c r="G24" s="7" t="s">
        <v>78</v>
      </c>
      <c r="H24" s="8">
        <v>5</v>
      </c>
      <c r="I24" s="2">
        <f t="shared" si="0"/>
        <v>25</v>
      </c>
      <c r="J24" s="9" t="s">
        <v>59</v>
      </c>
    </row>
    <row r="25" spans="1:10" x14ac:dyDescent="0.25">
      <c r="A25" s="6" t="s">
        <v>40</v>
      </c>
      <c r="B25" s="6" t="s">
        <v>19</v>
      </c>
      <c r="C25" s="6" t="s">
        <v>144</v>
      </c>
      <c r="D25" s="6" t="s">
        <v>26</v>
      </c>
      <c r="E25" s="6" t="s">
        <v>72</v>
      </c>
      <c r="F25" s="6">
        <v>60</v>
      </c>
      <c r="G25" s="7" t="s">
        <v>78</v>
      </c>
      <c r="H25" s="8">
        <v>5</v>
      </c>
      <c r="I25" s="2">
        <f t="shared" si="0"/>
        <v>55</v>
      </c>
      <c r="J25" s="9" t="s">
        <v>59</v>
      </c>
    </row>
    <row r="26" spans="1:10" x14ac:dyDescent="0.25">
      <c r="A26" s="6" t="s">
        <v>40</v>
      </c>
      <c r="B26" s="6" t="s">
        <v>19</v>
      </c>
      <c r="C26" s="6" t="s">
        <v>139</v>
      </c>
      <c r="D26" s="6" t="s">
        <v>115</v>
      </c>
      <c r="E26" s="6" t="s">
        <v>72</v>
      </c>
      <c r="F26" s="6">
        <v>30</v>
      </c>
      <c r="G26" s="7" t="s">
        <v>80</v>
      </c>
      <c r="H26" s="8">
        <v>1</v>
      </c>
      <c r="I26" s="2">
        <f t="shared" si="0"/>
        <v>29</v>
      </c>
      <c r="J26" s="9" t="s">
        <v>59</v>
      </c>
    </row>
    <row r="27" spans="1:10" x14ac:dyDescent="0.25">
      <c r="A27" s="6" t="s">
        <v>40</v>
      </c>
      <c r="B27" s="6" t="s">
        <v>19</v>
      </c>
      <c r="C27" s="6" t="s">
        <v>65</v>
      </c>
      <c r="D27" s="6" t="s">
        <v>20</v>
      </c>
      <c r="E27" s="6" t="s">
        <v>30</v>
      </c>
      <c r="F27" s="6">
        <v>30</v>
      </c>
      <c r="G27" s="7" t="s">
        <v>78</v>
      </c>
      <c r="H27" s="8">
        <v>5</v>
      </c>
      <c r="I27" s="2">
        <f t="shared" si="0"/>
        <v>25</v>
      </c>
      <c r="J27" s="9" t="s">
        <v>59</v>
      </c>
    </row>
    <row r="28" spans="1:10" x14ac:dyDescent="0.25">
      <c r="A28" s="6" t="s">
        <v>40</v>
      </c>
      <c r="B28" s="6" t="s">
        <v>19</v>
      </c>
      <c r="C28" s="6" t="s">
        <v>129</v>
      </c>
      <c r="D28" s="6" t="s">
        <v>15</v>
      </c>
      <c r="E28" s="6" t="s">
        <v>16</v>
      </c>
      <c r="F28" s="6">
        <v>30</v>
      </c>
      <c r="G28" s="7" t="s">
        <v>78</v>
      </c>
      <c r="H28" s="8">
        <v>5</v>
      </c>
      <c r="I28" s="2">
        <f t="shared" si="0"/>
        <v>25</v>
      </c>
      <c r="J28" s="9" t="s">
        <v>59</v>
      </c>
    </row>
    <row r="29" spans="1:10" x14ac:dyDescent="0.25">
      <c r="A29" s="6" t="s">
        <v>40</v>
      </c>
      <c r="B29" s="6" t="s">
        <v>19</v>
      </c>
      <c r="C29" s="6" t="s">
        <v>98</v>
      </c>
      <c r="D29" s="6" t="s">
        <v>100</v>
      </c>
      <c r="E29" s="6" t="s">
        <v>72</v>
      </c>
      <c r="F29" s="6">
        <v>45</v>
      </c>
      <c r="G29" s="7" t="s">
        <v>80</v>
      </c>
      <c r="H29" s="8">
        <v>20</v>
      </c>
      <c r="I29" s="2">
        <f t="shared" si="0"/>
        <v>25</v>
      </c>
      <c r="J29" s="9" t="s">
        <v>59</v>
      </c>
    </row>
    <row r="30" spans="1:10" x14ac:dyDescent="0.25">
      <c r="A30" s="6" t="s">
        <v>40</v>
      </c>
      <c r="B30" s="6" t="s">
        <v>19</v>
      </c>
      <c r="C30" s="6" t="s">
        <v>113</v>
      </c>
      <c r="D30" s="6" t="s">
        <v>114</v>
      </c>
      <c r="E30" s="6" t="s">
        <v>72</v>
      </c>
      <c r="F30" s="6">
        <v>15</v>
      </c>
      <c r="G30" s="7" t="s">
        <v>80</v>
      </c>
      <c r="H30" s="8">
        <v>5</v>
      </c>
      <c r="I30" s="2">
        <f t="shared" si="0"/>
        <v>10</v>
      </c>
      <c r="J30" s="9" t="s">
        <v>59</v>
      </c>
    </row>
    <row r="31" spans="1:10" x14ac:dyDescent="0.25">
      <c r="A31" s="6" t="s">
        <v>40</v>
      </c>
      <c r="B31" s="6" t="s">
        <v>19</v>
      </c>
      <c r="C31" s="6" t="s">
        <v>116</v>
      </c>
      <c r="D31" s="6" t="s">
        <v>115</v>
      </c>
      <c r="E31" s="6" t="s">
        <v>72</v>
      </c>
      <c r="F31" s="6">
        <v>30</v>
      </c>
      <c r="G31" s="7" t="s">
        <v>80</v>
      </c>
      <c r="H31" s="8">
        <v>1</v>
      </c>
      <c r="I31" s="2">
        <f t="shared" si="0"/>
        <v>29</v>
      </c>
      <c r="J31" s="9" t="s">
        <v>59</v>
      </c>
    </row>
    <row r="32" spans="1:10" x14ac:dyDescent="0.25">
      <c r="A32" s="6" t="s">
        <v>40</v>
      </c>
      <c r="B32" s="6" t="s">
        <v>19</v>
      </c>
      <c r="C32" s="6" t="s">
        <v>101</v>
      </c>
      <c r="D32" s="6" t="s">
        <v>102</v>
      </c>
      <c r="E32" s="6" t="s">
        <v>72</v>
      </c>
      <c r="F32" s="6">
        <v>15</v>
      </c>
      <c r="G32" s="7" t="s">
        <v>80</v>
      </c>
      <c r="H32" s="8">
        <v>5</v>
      </c>
      <c r="I32" s="2">
        <f t="shared" si="0"/>
        <v>10</v>
      </c>
      <c r="J32" s="9" t="s">
        <v>59</v>
      </c>
    </row>
    <row r="33" spans="1:10" x14ac:dyDescent="0.25">
      <c r="A33" s="6" t="s">
        <v>40</v>
      </c>
      <c r="B33" s="6" t="s">
        <v>19</v>
      </c>
      <c r="C33" s="6" t="s">
        <v>103</v>
      </c>
      <c r="D33" s="6" t="s">
        <v>104</v>
      </c>
      <c r="E33" s="6" t="s">
        <v>72</v>
      </c>
      <c r="F33" s="6">
        <v>15</v>
      </c>
      <c r="G33" s="7" t="s">
        <v>80</v>
      </c>
      <c r="H33" s="8">
        <v>5</v>
      </c>
      <c r="I33" s="2">
        <f t="shared" si="0"/>
        <v>10</v>
      </c>
      <c r="J33" s="9" t="s">
        <v>59</v>
      </c>
    </row>
    <row r="34" spans="1:10" x14ac:dyDescent="0.25">
      <c r="A34" s="6" t="s">
        <v>40</v>
      </c>
      <c r="B34" s="6" t="s">
        <v>19</v>
      </c>
      <c r="C34" s="6" t="s">
        <v>109</v>
      </c>
      <c r="D34" s="6" t="s">
        <v>111</v>
      </c>
      <c r="E34" s="6" t="s">
        <v>72</v>
      </c>
      <c r="F34" s="6">
        <v>15</v>
      </c>
      <c r="G34" s="7" t="s">
        <v>80</v>
      </c>
      <c r="H34" s="8">
        <v>5</v>
      </c>
      <c r="I34" s="2">
        <f t="shared" si="0"/>
        <v>10</v>
      </c>
      <c r="J34" s="9" t="s">
        <v>59</v>
      </c>
    </row>
    <row r="35" spans="1:10" x14ac:dyDescent="0.25">
      <c r="A35" s="6" t="s">
        <v>40</v>
      </c>
      <c r="B35" s="6" t="s">
        <v>19</v>
      </c>
      <c r="C35" s="6" t="s">
        <v>110</v>
      </c>
      <c r="D35" s="6" t="s">
        <v>112</v>
      </c>
      <c r="E35" s="6" t="s">
        <v>72</v>
      </c>
      <c r="F35" s="6">
        <v>15</v>
      </c>
      <c r="G35" s="7" t="s">
        <v>80</v>
      </c>
      <c r="H35" s="8">
        <v>5</v>
      </c>
      <c r="I35" s="2">
        <f t="shared" si="0"/>
        <v>10</v>
      </c>
      <c r="J35" s="9" t="s">
        <v>59</v>
      </c>
    </row>
    <row r="36" spans="1:10" x14ac:dyDescent="0.25">
      <c r="A36" s="6" t="s">
        <v>40</v>
      </c>
      <c r="B36" s="6" t="s">
        <v>19</v>
      </c>
      <c r="C36" s="6" t="s">
        <v>128</v>
      </c>
      <c r="D36" s="6" t="s">
        <v>127</v>
      </c>
      <c r="E36" s="6" t="s">
        <v>72</v>
      </c>
      <c r="F36" s="6">
        <v>120</v>
      </c>
      <c r="G36" s="7" t="s">
        <v>80</v>
      </c>
      <c r="H36" s="8">
        <v>30</v>
      </c>
      <c r="I36" s="2">
        <f t="shared" si="0"/>
        <v>90</v>
      </c>
      <c r="J36" s="9" t="s">
        <v>59</v>
      </c>
    </row>
    <row r="37" spans="1:10" x14ac:dyDescent="0.25">
      <c r="A37" s="6" t="s">
        <v>40</v>
      </c>
      <c r="B37" s="6" t="s">
        <v>19</v>
      </c>
      <c r="C37" s="6" t="s">
        <v>23</v>
      </c>
      <c r="D37" s="6" t="s">
        <v>24</v>
      </c>
      <c r="E37" s="6" t="s">
        <v>30</v>
      </c>
      <c r="F37" s="6">
        <v>20</v>
      </c>
      <c r="G37" s="7" t="s">
        <v>96</v>
      </c>
      <c r="H37" s="8">
        <v>2</v>
      </c>
      <c r="I37" s="2">
        <f t="shared" si="0"/>
        <v>18</v>
      </c>
      <c r="J37" s="9" t="s">
        <v>59</v>
      </c>
    </row>
    <row r="38" spans="1:10" x14ac:dyDescent="0.25">
      <c r="A38" s="6" t="s">
        <v>40</v>
      </c>
      <c r="B38" s="6" t="s">
        <v>19</v>
      </c>
      <c r="C38" s="6" t="s">
        <v>153</v>
      </c>
      <c r="D38" s="6" t="s">
        <v>20</v>
      </c>
      <c r="E38" s="6" t="s">
        <v>30</v>
      </c>
      <c r="F38" s="6">
        <v>30</v>
      </c>
      <c r="G38" s="7" t="s">
        <v>78</v>
      </c>
      <c r="H38" s="8">
        <v>5</v>
      </c>
      <c r="I38" s="2">
        <f t="shared" si="0"/>
        <v>25</v>
      </c>
      <c r="J38" s="9" t="s">
        <v>59</v>
      </c>
    </row>
    <row r="39" spans="1:10" x14ac:dyDescent="0.25">
      <c r="A39" s="6" t="s">
        <v>40</v>
      </c>
      <c r="B39" s="6" t="s">
        <v>45</v>
      </c>
      <c r="C39" s="6" t="s">
        <v>64</v>
      </c>
      <c r="D39" s="6" t="s">
        <v>84</v>
      </c>
      <c r="E39" s="6" t="s">
        <v>88</v>
      </c>
      <c r="F39" s="6">
        <v>30</v>
      </c>
      <c r="G39" s="7" t="s">
        <v>78</v>
      </c>
      <c r="H39" s="8">
        <v>2</v>
      </c>
      <c r="I39" s="2">
        <f t="shared" si="0"/>
        <v>28</v>
      </c>
      <c r="J39" s="9" t="s">
        <v>59</v>
      </c>
    </row>
    <row r="40" spans="1:10" x14ac:dyDescent="0.25">
      <c r="A40" s="6" t="s">
        <v>40</v>
      </c>
      <c r="B40" s="6" t="s">
        <v>45</v>
      </c>
      <c r="C40" s="6" t="s">
        <v>63</v>
      </c>
      <c r="D40" s="6" t="s">
        <v>84</v>
      </c>
      <c r="E40" s="6" t="s">
        <v>88</v>
      </c>
      <c r="F40" s="6">
        <v>30</v>
      </c>
      <c r="G40" s="7" t="s">
        <v>78</v>
      </c>
      <c r="H40" s="8">
        <v>2</v>
      </c>
      <c r="I40" s="2">
        <f t="shared" si="0"/>
        <v>28</v>
      </c>
      <c r="J40" s="9" t="s">
        <v>59</v>
      </c>
    </row>
    <row r="41" spans="1:10" x14ac:dyDescent="0.25">
      <c r="A41" s="6" t="s">
        <v>40</v>
      </c>
      <c r="B41" s="6" t="s">
        <v>45</v>
      </c>
      <c r="C41" s="6" t="s">
        <v>118</v>
      </c>
      <c r="D41" s="6" t="s">
        <v>85</v>
      </c>
      <c r="E41" s="6" t="s">
        <v>88</v>
      </c>
      <c r="F41" s="6">
        <v>30</v>
      </c>
      <c r="G41" s="7" t="s">
        <v>147</v>
      </c>
      <c r="H41" s="8">
        <v>10</v>
      </c>
      <c r="I41" s="2">
        <f t="shared" si="0"/>
        <v>20</v>
      </c>
      <c r="J41" s="9" t="s">
        <v>59</v>
      </c>
    </row>
    <row r="42" spans="1:10" x14ac:dyDescent="0.25">
      <c r="A42" s="6" t="s">
        <v>40</v>
      </c>
      <c r="B42" s="6" t="s">
        <v>4</v>
      </c>
      <c r="C42" s="6" t="s">
        <v>119</v>
      </c>
      <c r="D42" s="6" t="s">
        <v>89</v>
      </c>
      <c r="E42" s="6" t="s">
        <v>94</v>
      </c>
      <c r="F42" s="6">
        <v>120</v>
      </c>
      <c r="G42" s="7" t="s">
        <v>78</v>
      </c>
      <c r="H42" s="8"/>
      <c r="I42" s="2" t="str">
        <f t="shared" si="0"/>
        <v/>
      </c>
      <c r="J42" s="9" t="s">
        <v>106</v>
      </c>
    </row>
    <row r="43" spans="1:10" x14ac:dyDescent="0.25">
      <c r="A43" s="10" t="s">
        <v>40</v>
      </c>
      <c r="B43" s="10" t="s">
        <v>45</v>
      </c>
      <c r="C43" s="6" t="s">
        <v>132</v>
      </c>
      <c r="D43" s="6" t="s">
        <v>132</v>
      </c>
      <c r="E43" s="6" t="s">
        <v>88</v>
      </c>
      <c r="F43" s="6">
        <v>480</v>
      </c>
      <c r="G43" s="7" t="s">
        <v>138</v>
      </c>
      <c r="H43" s="8"/>
      <c r="I43" s="2"/>
      <c r="J43" s="9" t="s">
        <v>106</v>
      </c>
    </row>
    <row r="44" spans="1:10" x14ac:dyDescent="0.25">
      <c r="A44" s="6" t="s">
        <v>40</v>
      </c>
      <c r="B44" s="6" t="s">
        <v>19</v>
      </c>
      <c r="C44" s="6" t="s">
        <v>67</v>
      </c>
      <c r="D44" s="6" t="s">
        <v>61</v>
      </c>
      <c r="E44" s="6" t="s">
        <v>16</v>
      </c>
      <c r="F44" s="6">
        <v>60</v>
      </c>
      <c r="G44" s="7" t="s">
        <v>78</v>
      </c>
      <c r="H44" s="8"/>
      <c r="I44" s="2" t="str">
        <f t="shared" ref="I44:I69" si="1">IF(H44="","",F44-H44)</f>
        <v/>
      </c>
      <c r="J44" s="9" t="s">
        <v>105</v>
      </c>
    </row>
    <row r="45" spans="1:10" x14ac:dyDescent="0.25">
      <c r="A45" s="6" t="s">
        <v>40</v>
      </c>
      <c r="B45" s="6" t="s">
        <v>19</v>
      </c>
      <c r="C45" s="6" t="s">
        <v>66</v>
      </c>
      <c r="D45" s="6" t="s">
        <v>62</v>
      </c>
      <c r="E45" s="6" t="s">
        <v>16</v>
      </c>
      <c r="F45" s="6">
        <v>60</v>
      </c>
      <c r="G45" s="7" t="s">
        <v>78</v>
      </c>
      <c r="H45" s="8"/>
      <c r="I45" s="2" t="str">
        <f t="shared" si="1"/>
        <v/>
      </c>
      <c r="J45" s="9" t="s">
        <v>105</v>
      </c>
    </row>
    <row r="46" spans="1:10" x14ac:dyDescent="0.25">
      <c r="A46" s="6" t="s">
        <v>40</v>
      </c>
      <c r="B46" s="6" t="s">
        <v>19</v>
      </c>
      <c r="C46" s="6" t="s">
        <v>140</v>
      </c>
      <c r="D46" s="6" t="s">
        <v>141</v>
      </c>
      <c r="E46" s="6" t="s">
        <v>72</v>
      </c>
      <c r="F46" s="6"/>
      <c r="G46" s="7" t="s">
        <v>78</v>
      </c>
      <c r="H46" s="8"/>
      <c r="I46" s="2" t="str">
        <f t="shared" si="1"/>
        <v/>
      </c>
      <c r="J46" s="9" t="s">
        <v>105</v>
      </c>
    </row>
    <row r="47" spans="1:10" x14ac:dyDescent="0.25">
      <c r="A47" s="6" t="s">
        <v>40</v>
      </c>
      <c r="B47" s="6" t="s">
        <v>19</v>
      </c>
      <c r="C47" s="6" t="s">
        <v>142</v>
      </c>
      <c r="D47" s="6" t="s">
        <v>143</v>
      </c>
      <c r="E47" s="6" t="s">
        <v>72</v>
      </c>
      <c r="F47" s="6"/>
      <c r="G47" s="7" t="s">
        <v>78</v>
      </c>
      <c r="H47" s="8"/>
      <c r="I47" s="2" t="str">
        <f t="shared" si="1"/>
        <v/>
      </c>
      <c r="J47" s="9" t="s">
        <v>105</v>
      </c>
    </row>
    <row r="48" spans="1:10" x14ac:dyDescent="0.25">
      <c r="A48" s="6" t="s">
        <v>40</v>
      </c>
      <c r="B48" s="6" t="s">
        <v>4</v>
      </c>
      <c r="C48" s="6" t="s">
        <v>70</v>
      </c>
      <c r="D48" s="6" t="s">
        <v>8</v>
      </c>
      <c r="E48" s="6" t="s">
        <v>69</v>
      </c>
      <c r="F48" s="6">
        <v>30</v>
      </c>
      <c r="G48" s="7" t="s">
        <v>78</v>
      </c>
      <c r="H48" s="8"/>
      <c r="I48" s="2" t="str">
        <f t="shared" si="1"/>
        <v/>
      </c>
      <c r="J48" s="9" t="s">
        <v>106</v>
      </c>
    </row>
    <row r="49" spans="1:10" x14ac:dyDescent="0.25">
      <c r="A49" s="6" t="s">
        <v>40</v>
      </c>
      <c r="B49" s="6" t="s">
        <v>19</v>
      </c>
      <c r="C49" s="6" t="s">
        <v>33</v>
      </c>
      <c r="D49" s="6" t="s">
        <v>34</v>
      </c>
      <c r="E49" s="6" t="s">
        <v>30</v>
      </c>
      <c r="F49" s="6">
        <v>10</v>
      </c>
      <c r="G49" s="7" t="s">
        <v>78</v>
      </c>
      <c r="H49" s="8"/>
      <c r="I49" s="2" t="str">
        <f t="shared" si="1"/>
        <v/>
      </c>
      <c r="J49" s="9" t="s">
        <v>59</v>
      </c>
    </row>
    <row r="50" spans="1:10" x14ac:dyDescent="0.25">
      <c r="A50" s="6" t="s">
        <v>40</v>
      </c>
      <c r="B50" s="6" t="s">
        <v>45</v>
      </c>
      <c r="C50" s="6" t="s">
        <v>154</v>
      </c>
      <c r="D50" s="6" t="s">
        <v>81</v>
      </c>
      <c r="E50" s="6" t="s">
        <v>88</v>
      </c>
      <c r="F50" s="6">
        <v>10</v>
      </c>
      <c r="G50" s="7" t="s">
        <v>78</v>
      </c>
      <c r="H50" s="8">
        <v>10</v>
      </c>
      <c r="I50" s="2">
        <f t="shared" si="1"/>
        <v>0</v>
      </c>
      <c r="J50" s="9" t="s">
        <v>59</v>
      </c>
    </row>
    <row r="51" spans="1:10" x14ac:dyDescent="0.25">
      <c r="A51" s="6" t="s">
        <v>40</v>
      </c>
      <c r="B51" s="6" t="s">
        <v>45</v>
      </c>
      <c r="C51" s="6" t="s">
        <v>33</v>
      </c>
      <c r="D51" s="6" t="s">
        <v>83</v>
      </c>
      <c r="E51" s="6" t="s">
        <v>88</v>
      </c>
      <c r="F51" s="6">
        <v>10</v>
      </c>
      <c r="G51" s="7" t="s">
        <v>78</v>
      </c>
      <c r="H51" s="8">
        <v>10</v>
      </c>
      <c r="I51" s="2">
        <f t="shared" si="1"/>
        <v>0</v>
      </c>
      <c r="J51" s="9" t="s">
        <v>59</v>
      </c>
    </row>
    <row r="52" spans="1:10" x14ac:dyDescent="0.25">
      <c r="A52" s="6" t="s">
        <v>40</v>
      </c>
      <c r="B52" s="6" t="s">
        <v>45</v>
      </c>
      <c r="C52" s="6" t="s">
        <v>122</v>
      </c>
      <c r="D52" s="6" t="s">
        <v>82</v>
      </c>
      <c r="E52" s="6" t="s">
        <v>88</v>
      </c>
      <c r="F52" s="6">
        <v>30</v>
      </c>
      <c r="G52" s="7" t="s">
        <v>147</v>
      </c>
      <c r="H52" s="8">
        <v>10</v>
      </c>
      <c r="I52" s="2">
        <f t="shared" si="1"/>
        <v>20</v>
      </c>
      <c r="J52" s="9" t="s">
        <v>59</v>
      </c>
    </row>
    <row r="53" spans="1:10" x14ac:dyDescent="0.25">
      <c r="A53" s="6" t="s">
        <v>40</v>
      </c>
      <c r="B53" s="6" t="s">
        <v>45</v>
      </c>
      <c r="C53" s="6" t="s">
        <v>57</v>
      </c>
      <c r="D53" s="6" t="s">
        <v>87</v>
      </c>
      <c r="E53" s="6" t="s">
        <v>88</v>
      </c>
      <c r="F53" s="6">
        <v>15</v>
      </c>
      <c r="G53" s="7" t="s">
        <v>80</v>
      </c>
      <c r="H53" s="8">
        <v>2</v>
      </c>
      <c r="I53" s="2">
        <f t="shared" si="1"/>
        <v>13</v>
      </c>
      <c r="J53" s="9" t="s">
        <v>59</v>
      </c>
    </row>
    <row r="54" spans="1:10" x14ac:dyDescent="0.25">
      <c r="A54" s="6" t="s">
        <v>40</v>
      </c>
      <c r="B54" s="6" t="s">
        <v>45</v>
      </c>
      <c r="C54" s="6" t="s">
        <v>130</v>
      </c>
      <c r="D54" s="6" t="s">
        <v>86</v>
      </c>
      <c r="E54" s="6" t="s">
        <v>88</v>
      </c>
      <c r="F54" s="6">
        <v>20</v>
      </c>
      <c r="G54" s="7" t="s">
        <v>80</v>
      </c>
      <c r="H54" s="8">
        <v>15</v>
      </c>
      <c r="I54" s="2">
        <f t="shared" si="1"/>
        <v>5</v>
      </c>
      <c r="J54" s="9" t="s">
        <v>59</v>
      </c>
    </row>
    <row r="55" spans="1:10" x14ac:dyDescent="0.25">
      <c r="A55" s="6" t="s">
        <v>40</v>
      </c>
      <c r="B55" s="6" t="s">
        <v>45</v>
      </c>
      <c r="C55" s="6" t="s">
        <v>131</v>
      </c>
      <c r="D55" s="6" t="s">
        <v>87</v>
      </c>
      <c r="E55" s="6" t="s">
        <v>88</v>
      </c>
      <c r="F55" s="6">
        <v>2</v>
      </c>
      <c r="G55" s="7" t="s">
        <v>80</v>
      </c>
      <c r="H55" s="8">
        <v>2</v>
      </c>
      <c r="I55" s="2">
        <f t="shared" si="1"/>
        <v>0</v>
      </c>
      <c r="J55" s="9" t="s">
        <v>59</v>
      </c>
    </row>
    <row r="56" spans="1:10" x14ac:dyDescent="0.25">
      <c r="A56" s="10" t="s">
        <v>40</v>
      </c>
      <c r="B56" s="10" t="s">
        <v>45</v>
      </c>
      <c r="C56" s="6" t="s">
        <v>151</v>
      </c>
      <c r="D56" s="6" t="s">
        <v>133</v>
      </c>
      <c r="E56" s="6" t="s">
        <v>88</v>
      </c>
      <c r="F56" s="6">
        <v>120</v>
      </c>
      <c r="G56" s="7" t="s">
        <v>80</v>
      </c>
      <c r="H56" s="8">
        <v>30</v>
      </c>
      <c r="I56" s="2">
        <f t="shared" si="1"/>
        <v>90</v>
      </c>
      <c r="J56" s="9" t="s">
        <v>59</v>
      </c>
    </row>
    <row r="57" spans="1:10" x14ac:dyDescent="0.25">
      <c r="A57" s="10" t="s">
        <v>40</v>
      </c>
      <c r="B57" s="10" t="s">
        <v>45</v>
      </c>
      <c r="C57" s="6" t="s">
        <v>150</v>
      </c>
      <c r="D57" s="6" t="s">
        <v>134</v>
      </c>
      <c r="E57" s="6" t="s">
        <v>88</v>
      </c>
      <c r="F57" s="6">
        <v>60</v>
      </c>
      <c r="G57" s="7" t="s">
        <v>80</v>
      </c>
      <c r="H57" s="8">
        <v>30</v>
      </c>
      <c r="I57" s="2">
        <f t="shared" si="1"/>
        <v>30</v>
      </c>
      <c r="J57" s="9" t="s">
        <v>59</v>
      </c>
    </row>
    <row r="58" spans="1:10" x14ac:dyDescent="0.25">
      <c r="A58" s="10" t="s">
        <v>40</v>
      </c>
      <c r="B58" s="10" t="s">
        <v>45</v>
      </c>
      <c r="C58" s="6" t="s">
        <v>37</v>
      </c>
      <c r="D58" s="6" t="s">
        <v>37</v>
      </c>
      <c r="E58" s="6" t="s">
        <v>88</v>
      </c>
      <c r="F58" s="6">
        <v>30</v>
      </c>
      <c r="G58" s="7" t="s">
        <v>80</v>
      </c>
      <c r="H58" s="8">
        <v>30</v>
      </c>
      <c r="I58" s="2">
        <f t="shared" si="1"/>
        <v>0</v>
      </c>
      <c r="J58" s="9" t="s">
        <v>59</v>
      </c>
    </row>
    <row r="59" spans="1:10" x14ac:dyDescent="0.25">
      <c r="A59" s="10" t="s">
        <v>40</v>
      </c>
      <c r="B59" s="10" t="s">
        <v>45</v>
      </c>
      <c r="C59" s="6" t="s">
        <v>135</v>
      </c>
      <c r="D59" s="6" t="s">
        <v>135</v>
      </c>
      <c r="E59" s="6" t="s">
        <v>88</v>
      </c>
      <c r="F59" s="6">
        <v>120</v>
      </c>
      <c r="G59" s="7" t="s">
        <v>80</v>
      </c>
      <c r="H59" s="8">
        <v>30</v>
      </c>
      <c r="I59" s="2">
        <f t="shared" si="1"/>
        <v>90</v>
      </c>
      <c r="J59" s="9" t="s">
        <v>59</v>
      </c>
    </row>
    <row r="60" spans="1:10" x14ac:dyDescent="0.25">
      <c r="A60" s="10" t="s">
        <v>40</v>
      </c>
      <c r="B60" s="10" t="s">
        <v>45</v>
      </c>
      <c r="C60" s="6" t="s">
        <v>149</v>
      </c>
      <c r="D60" s="6" t="s">
        <v>136</v>
      </c>
      <c r="E60" s="6" t="s">
        <v>88</v>
      </c>
      <c r="F60" s="6">
        <v>60</v>
      </c>
      <c r="G60" s="7" t="s">
        <v>80</v>
      </c>
      <c r="H60" s="8">
        <v>30</v>
      </c>
      <c r="I60" s="2">
        <f t="shared" si="1"/>
        <v>30</v>
      </c>
      <c r="J60" s="9" t="s">
        <v>59</v>
      </c>
    </row>
    <row r="61" spans="1:10" x14ac:dyDescent="0.25">
      <c r="A61" s="10" t="s">
        <v>40</v>
      </c>
      <c r="B61" s="10" t="s">
        <v>45</v>
      </c>
      <c r="C61" s="6" t="s">
        <v>148</v>
      </c>
      <c r="D61" s="6" t="s">
        <v>137</v>
      </c>
      <c r="E61" s="6" t="s">
        <v>88</v>
      </c>
      <c r="F61" s="6">
        <v>120</v>
      </c>
      <c r="G61" s="7" t="s">
        <v>80</v>
      </c>
      <c r="H61" s="8">
        <v>30</v>
      </c>
      <c r="I61" s="2">
        <f t="shared" si="1"/>
        <v>90</v>
      </c>
      <c r="J61" s="9" t="s">
        <v>59</v>
      </c>
    </row>
    <row r="62" spans="1:10" x14ac:dyDescent="0.25">
      <c r="A62" s="10" t="s">
        <v>40</v>
      </c>
      <c r="B62" s="10" t="s">
        <v>45</v>
      </c>
      <c r="C62" s="6" t="s">
        <v>145</v>
      </c>
      <c r="D62" s="6" t="s">
        <v>137</v>
      </c>
      <c r="E62" s="6" t="s">
        <v>88</v>
      </c>
      <c r="F62" s="6">
        <v>60</v>
      </c>
      <c r="G62" s="7" t="s">
        <v>80</v>
      </c>
      <c r="H62" s="8">
        <v>30</v>
      </c>
      <c r="I62" s="2">
        <f t="shared" si="1"/>
        <v>30</v>
      </c>
      <c r="J62" s="9" t="s">
        <v>59</v>
      </c>
    </row>
    <row r="63" spans="1:10" x14ac:dyDescent="0.25">
      <c r="A63" s="10" t="s">
        <v>40</v>
      </c>
      <c r="B63" s="10" t="s">
        <v>45</v>
      </c>
      <c r="C63" s="6" t="s">
        <v>146</v>
      </c>
      <c r="D63" s="6" t="s">
        <v>137</v>
      </c>
      <c r="E63" s="6" t="s">
        <v>88</v>
      </c>
      <c r="F63" s="6">
        <v>60</v>
      </c>
      <c r="G63" s="7" t="s">
        <v>80</v>
      </c>
      <c r="H63" s="8">
        <v>30</v>
      </c>
      <c r="I63" s="2">
        <f t="shared" si="1"/>
        <v>30</v>
      </c>
      <c r="J63" s="9" t="s">
        <v>59</v>
      </c>
    </row>
    <row r="64" spans="1:10" x14ac:dyDescent="0.25">
      <c r="A64" s="6" t="s">
        <v>40</v>
      </c>
      <c r="B64" s="6" t="s">
        <v>45</v>
      </c>
      <c r="C64" s="6" t="s">
        <v>152</v>
      </c>
      <c r="D64" s="6" t="s">
        <v>82</v>
      </c>
      <c r="E64" s="6" t="s">
        <v>88</v>
      </c>
      <c r="F64" s="6">
        <v>1200</v>
      </c>
      <c r="G64" s="7" t="s">
        <v>147</v>
      </c>
      <c r="H64" s="8">
        <v>240</v>
      </c>
      <c r="I64" s="2">
        <f t="shared" si="1"/>
        <v>960</v>
      </c>
      <c r="J64" s="9" t="s">
        <v>59</v>
      </c>
    </row>
    <row r="65" spans="1:10" x14ac:dyDescent="0.25">
      <c r="A65" s="6" t="s">
        <v>40</v>
      </c>
      <c r="B65" s="6" t="s">
        <v>4</v>
      </c>
      <c r="C65" s="6" t="s">
        <v>18</v>
      </c>
      <c r="D65" s="6" t="s">
        <v>8</v>
      </c>
      <c r="E65" s="6" t="s">
        <v>7</v>
      </c>
      <c r="F65" s="6">
        <v>30</v>
      </c>
      <c r="G65" s="7" t="s">
        <v>80</v>
      </c>
      <c r="H65" s="8"/>
      <c r="I65" s="2" t="str">
        <f t="shared" si="1"/>
        <v/>
      </c>
      <c r="J65" s="9" t="s">
        <v>123</v>
      </c>
    </row>
    <row r="66" spans="1:10" x14ac:dyDescent="0.25">
      <c r="A66" s="6" t="s">
        <v>40</v>
      </c>
      <c r="B66" s="6" t="s">
        <v>19</v>
      </c>
      <c r="C66" s="6" t="s">
        <v>28</v>
      </c>
      <c r="D66" s="6" t="s">
        <v>29</v>
      </c>
      <c r="E66" s="6" t="s">
        <v>30</v>
      </c>
      <c r="F66" s="6">
        <v>15</v>
      </c>
      <c r="G66" s="7" t="s">
        <v>78</v>
      </c>
      <c r="H66" s="8"/>
      <c r="I66" s="2" t="str">
        <f t="shared" si="1"/>
        <v/>
      </c>
      <c r="J66" s="9" t="s">
        <v>123</v>
      </c>
    </row>
    <row r="67" spans="1:10" x14ac:dyDescent="0.25">
      <c r="A67" s="6" t="s">
        <v>40</v>
      </c>
      <c r="B67" s="6" t="s">
        <v>19</v>
      </c>
      <c r="C67" s="6" t="s">
        <v>36</v>
      </c>
      <c r="D67" s="6" t="s">
        <v>35</v>
      </c>
      <c r="E67" s="6" t="s">
        <v>30</v>
      </c>
      <c r="F67" s="6">
        <v>5</v>
      </c>
      <c r="G67" s="7" t="s">
        <v>95</v>
      </c>
      <c r="H67" s="8"/>
      <c r="I67" s="2" t="str">
        <f t="shared" si="1"/>
        <v/>
      </c>
      <c r="J67" s="9" t="s">
        <v>123</v>
      </c>
    </row>
    <row r="68" spans="1:10" x14ac:dyDescent="0.25">
      <c r="A68" s="6" t="s">
        <v>40</v>
      </c>
      <c r="B68" s="6" t="s">
        <v>19</v>
      </c>
      <c r="C68" s="6" t="s">
        <v>27</v>
      </c>
      <c r="D68" s="6" t="s">
        <v>20</v>
      </c>
      <c r="E68" s="6" t="s">
        <v>30</v>
      </c>
      <c r="F68" s="6">
        <v>30</v>
      </c>
      <c r="G68" s="7" t="s">
        <v>78</v>
      </c>
      <c r="H68" s="8"/>
      <c r="I68" s="2" t="str">
        <f t="shared" si="1"/>
        <v/>
      </c>
      <c r="J68" s="9" t="s">
        <v>123</v>
      </c>
    </row>
    <row r="69" spans="1:10" x14ac:dyDescent="0.25">
      <c r="A69" s="6" t="s">
        <v>40</v>
      </c>
      <c r="B69" s="6" t="s">
        <v>19</v>
      </c>
      <c r="C69" s="6" t="s">
        <v>25</v>
      </c>
      <c r="D69" s="6" t="s">
        <v>26</v>
      </c>
      <c r="E69" s="6" t="s">
        <v>30</v>
      </c>
      <c r="F69" s="6">
        <v>60</v>
      </c>
      <c r="G69" s="7" t="s">
        <v>96</v>
      </c>
      <c r="H69" s="8"/>
      <c r="I69" s="2" t="str">
        <f t="shared" si="1"/>
        <v/>
      </c>
      <c r="J69" s="9" t="s">
        <v>123</v>
      </c>
    </row>
    <row r="70" spans="1:10" x14ac:dyDescent="0.25">
      <c r="A70" s="6"/>
      <c r="B70" s="6"/>
      <c r="C70" s="6"/>
      <c r="D70" s="6"/>
      <c r="E70" s="6"/>
      <c r="F70" s="6"/>
      <c r="G70" s="7"/>
      <c r="H70" s="8"/>
      <c r="I70" s="2"/>
    </row>
    <row r="71" spans="1:10" x14ac:dyDescent="0.25">
      <c r="A71" s="6"/>
      <c r="B71" s="6"/>
      <c r="C71" s="6"/>
      <c r="D71" s="6"/>
      <c r="E71" s="6"/>
      <c r="F71" s="6"/>
      <c r="G71" s="7"/>
      <c r="H71" s="8"/>
      <c r="I71" s="2"/>
    </row>
    <row r="72" spans="1:10" x14ac:dyDescent="0.25">
      <c r="A72" s="6"/>
      <c r="B72" s="6"/>
      <c r="C72" s="6"/>
      <c r="D72" s="6"/>
      <c r="E72" s="6"/>
      <c r="F72" s="6"/>
      <c r="G72" s="7"/>
      <c r="H72" s="8"/>
      <c r="I72" s="2"/>
    </row>
    <row r="73" spans="1:10" x14ac:dyDescent="0.25">
      <c r="A73" s="6"/>
      <c r="B73" s="6"/>
      <c r="C73" s="6"/>
      <c r="D73" s="6"/>
      <c r="E73" s="6"/>
      <c r="F73" s="6"/>
      <c r="G73" s="7"/>
      <c r="H73" s="8"/>
      <c r="I73" s="2" t="str">
        <f t="shared" ref="I73:I104" si="2">IF(H73="","",F73-H73)</f>
        <v/>
      </c>
    </row>
    <row r="74" spans="1:10" x14ac:dyDescent="0.25">
      <c r="A74" s="6"/>
      <c r="B74" s="6"/>
      <c r="C74" s="6"/>
      <c r="D74" s="6"/>
      <c r="E74" s="6"/>
      <c r="F74" s="6"/>
      <c r="G74" s="7"/>
      <c r="H74" s="8"/>
      <c r="I74" s="2" t="str">
        <f t="shared" si="2"/>
        <v/>
      </c>
    </row>
    <row r="75" spans="1:10" x14ac:dyDescent="0.25">
      <c r="A75" s="6"/>
      <c r="B75" s="6"/>
      <c r="C75" s="6"/>
      <c r="D75" s="6"/>
      <c r="E75" s="6"/>
      <c r="F75" s="6"/>
      <c r="G75" s="7"/>
      <c r="H75" s="8"/>
      <c r="I75" s="2" t="str">
        <f t="shared" si="2"/>
        <v/>
      </c>
    </row>
    <row r="76" spans="1:10" x14ac:dyDescent="0.25">
      <c r="A76" s="6"/>
      <c r="B76" s="6"/>
      <c r="C76" s="6"/>
      <c r="D76" s="6"/>
      <c r="E76" s="6"/>
      <c r="F76" s="6"/>
      <c r="G76" s="7"/>
      <c r="H76" s="8"/>
      <c r="I76" s="2" t="str">
        <f t="shared" si="2"/>
        <v/>
      </c>
    </row>
    <row r="77" spans="1:10" x14ac:dyDescent="0.25">
      <c r="A77" s="6"/>
      <c r="B77" s="6"/>
      <c r="C77" s="6"/>
      <c r="D77" s="6"/>
      <c r="E77" s="6"/>
      <c r="F77" s="6"/>
      <c r="G77" s="7"/>
      <c r="H77" s="8"/>
      <c r="I77" s="2" t="str">
        <f t="shared" si="2"/>
        <v/>
      </c>
    </row>
    <row r="78" spans="1:10" x14ac:dyDescent="0.25">
      <c r="A78" s="6"/>
      <c r="B78" s="6"/>
      <c r="C78" s="6"/>
      <c r="D78" s="6"/>
      <c r="E78" s="6"/>
      <c r="F78" s="6"/>
      <c r="G78" s="7"/>
      <c r="H78" s="8"/>
      <c r="I78" s="2" t="str">
        <f t="shared" si="2"/>
        <v/>
      </c>
    </row>
    <row r="79" spans="1:10" x14ac:dyDescent="0.25">
      <c r="A79" s="6"/>
      <c r="B79" s="6"/>
      <c r="C79" s="6"/>
      <c r="D79" s="6"/>
      <c r="E79" s="6"/>
      <c r="F79" s="6"/>
      <c r="G79" s="7"/>
      <c r="H79" s="8"/>
      <c r="I79" s="2" t="str">
        <f t="shared" si="2"/>
        <v/>
      </c>
    </row>
    <row r="80" spans="1:10" x14ac:dyDescent="0.25">
      <c r="A80" s="6"/>
      <c r="B80" s="6"/>
      <c r="C80" s="6"/>
      <c r="D80" s="6"/>
      <c r="E80" s="6"/>
      <c r="F80" s="6"/>
      <c r="G80" s="7"/>
      <c r="H80" s="8"/>
      <c r="I80" s="2" t="str">
        <f t="shared" si="2"/>
        <v/>
      </c>
    </row>
    <row r="81" spans="1:9" x14ac:dyDescent="0.25">
      <c r="A81" s="6"/>
      <c r="B81" s="6"/>
      <c r="C81" s="6"/>
      <c r="D81" s="6"/>
      <c r="E81" s="6"/>
      <c r="F81" s="6"/>
      <c r="G81" s="7"/>
      <c r="H81" s="8"/>
      <c r="I81" s="2" t="str">
        <f t="shared" si="2"/>
        <v/>
      </c>
    </row>
    <row r="82" spans="1:9" x14ac:dyDescent="0.25">
      <c r="A82" s="6"/>
      <c r="B82" s="6"/>
      <c r="C82" s="6"/>
      <c r="D82" s="6"/>
      <c r="E82" s="6"/>
      <c r="F82" s="6"/>
      <c r="G82" s="7"/>
      <c r="H82" s="8"/>
      <c r="I82" s="2" t="str">
        <f t="shared" si="2"/>
        <v/>
      </c>
    </row>
    <row r="83" spans="1:9" x14ac:dyDescent="0.25">
      <c r="A83" s="6"/>
      <c r="B83" s="6"/>
      <c r="C83" s="6"/>
      <c r="D83" s="6"/>
      <c r="E83" s="6"/>
      <c r="F83" s="6"/>
      <c r="G83" s="7"/>
      <c r="H83" s="8"/>
      <c r="I83" s="2" t="str">
        <f t="shared" si="2"/>
        <v/>
      </c>
    </row>
    <row r="84" spans="1:9" x14ac:dyDescent="0.25">
      <c r="A84" s="6"/>
      <c r="B84" s="6"/>
      <c r="C84" s="6"/>
      <c r="D84" s="6"/>
      <c r="E84" s="6"/>
      <c r="F84" s="6"/>
      <c r="G84" s="7"/>
      <c r="H84" s="8"/>
      <c r="I84" s="2" t="str">
        <f t="shared" si="2"/>
        <v/>
      </c>
    </row>
    <row r="85" spans="1:9" x14ac:dyDescent="0.25">
      <c r="A85" s="6"/>
      <c r="B85" s="6"/>
      <c r="C85" s="6"/>
      <c r="D85" s="6"/>
      <c r="E85" s="6"/>
      <c r="F85" s="6"/>
      <c r="G85" s="7"/>
      <c r="H85" s="8"/>
      <c r="I85" s="2" t="str">
        <f t="shared" si="2"/>
        <v/>
      </c>
    </row>
    <row r="86" spans="1:9" x14ac:dyDescent="0.25">
      <c r="A86" s="6"/>
      <c r="B86" s="6"/>
      <c r="C86" s="6"/>
      <c r="D86" s="6"/>
      <c r="E86" s="6"/>
      <c r="F86" s="6"/>
      <c r="G86" s="7"/>
      <c r="H86" s="8"/>
      <c r="I86" s="2" t="str">
        <f t="shared" si="2"/>
        <v/>
      </c>
    </row>
    <row r="87" spans="1:9" x14ac:dyDescent="0.25">
      <c r="A87" s="6"/>
      <c r="B87" s="6"/>
      <c r="C87" s="6"/>
      <c r="D87" s="6"/>
      <c r="E87" s="6"/>
      <c r="F87" s="6"/>
      <c r="G87" s="7"/>
      <c r="H87" s="8"/>
      <c r="I87" s="2" t="str">
        <f t="shared" si="2"/>
        <v/>
      </c>
    </row>
    <row r="88" spans="1:9" x14ac:dyDescent="0.25">
      <c r="A88" s="6"/>
      <c r="B88" s="6"/>
      <c r="C88" s="6"/>
      <c r="D88" s="6"/>
      <c r="E88" s="6"/>
      <c r="F88" s="6"/>
      <c r="G88" s="7"/>
      <c r="H88" s="8"/>
      <c r="I88" s="2" t="str">
        <f t="shared" si="2"/>
        <v/>
      </c>
    </row>
    <row r="89" spans="1:9" x14ac:dyDescent="0.25">
      <c r="A89" s="6"/>
      <c r="B89" s="6"/>
      <c r="C89" s="6"/>
      <c r="D89" s="6"/>
      <c r="E89" s="6"/>
      <c r="F89" s="6"/>
      <c r="G89" s="7"/>
      <c r="H89" s="8"/>
      <c r="I89" s="2" t="str">
        <f t="shared" si="2"/>
        <v/>
      </c>
    </row>
    <row r="90" spans="1:9" x14ac:dyDescent="0.25">
      <c r="A90" s="6"/>
      <c r="B90" s="6"/>
      <c r="C90" s="6"/>
      <c r="D90" s="6"/>
      <c r="E90" s="6"/>
      <c r="F90" s="6"/>
      <c r="G90" s="7"/>
      <c r="H90" s="8"/>
      <c r="I90" s="2" t="str">
        <f t="shared" si="2"/>
        <v/>
      </c>
    </row>
    <row r="91" spans="1:9" x14ac:dyDescent="0.25">
      <c r="A91" s="6"/>
      <c r="B91" s="6"/>
      <c r="C91" s="6"/>
      <c r="D91" s="6"/>
      <c r="E91" s="6"/>
      <c r="F91" s="6"/>
      <c r="G91" s="7"/>
      <c r="H91" s="8"/>
      <c r="I91" s="2" t="str">
        <f t="shared" si="2"/>
        <v/>
      </c>
    </row>
    <row r="92" spans="1:9" x14ac:dyDescent="0.25">
      <c r="A92" s="6"/>
      <c r="B92" s="6"/>
      <c r="C92" s="6"/>
      <c r="D92" s="6"/>
      <c r="E92" s="6"/>
      <c r="F92" s="6"/>
      <c r="G92" s="7"/>
      <c r="H92" s="8"/>
      <c r="I92" s="2" t="str">
        <f t="shared" si="2"/>
        <v/>
      </c>
    </row>
    <row r="93" spans="1:9" x14ac:dyDescent="0.25">
      <c r="A93" s="6"/>
      <c r="B93" s="6"/>
      <c r="C93" s="6"/>
      <c r="D93" s="6"/>
      <c r="E93" s="6"/>
      <c r="F93" s="6"/>
      <c r="G93" s="7"/>
      <c r="H93" s="8"/>
      <c r="I93" s="2" t="str">
        <f t="shared" si="2"/>
        <v/>
      </c>
    </row>
    <row r="94" spans="1:9" x14ac:dyDescent="0.25">
      <c r="A94" s="6"/>
      <c r="B94" s="6"/>
      <c r="C94" s="6"/>
      <c r="D94" s="6"/>
      <c r="E94" s="6"/>
      <c r="F94" s="6"/>
      <c r="G94" s="7"/>
      <c r="H94" s="8"/>
      <c r="I94" s="2" t="str">
        <f t="shared" si="2"/>
        <v/>
      </c>
    </row>
    <row r="95" spans="1:9" x14ac:dyDescent="0.25">
      <c r="A95" s="6"/>
      <c r="B95" s="6"/>
      <c r="C95" s="6"/>
      <c r="D95" s="6"/>
      <c r="E95" s="6"/>
      <c r="F95" s="6"/>
      <c r="G95" s="7"/>
      <c r="H95" s="8"/>
      <c r="I95" s="2" t="str">
        <f t="shared" si="2"/>
        <v/>
      </c>
    </row>
    <row r="96" spans="1:9" x14ac:dyDescent="0.25">
      <c r="A96" s="6"/>
      <c r="B96" s="6"/>
      <c r="C96" s="6"/>
      <c r="D96" s="6"/>
      <c r="E96" s="6"/>
      <c r="F96" s="6"/>
      <c r="G96" s="7"/>
      <c r="H96" s="8"/>
      <c r="I96" s="2" t="str">
        <f t="shared" si="2"/>
        <v/>
      </c>
    </row>
    <row r="97" spans="1:9" x14ac:dyDescent="0.25">
      <c r="A97" s="6"/>
      <c r="B97" s="6"/>
      <c r="C97" s="6"/>
      <c r="D97" s="6"/>
      <c r="E97" s="6"/>
      <c r="F97" s="6"/>
      <c r="G97" s="7"/>
      <c r="H97" s="8"/>
      <c r="I97" s="2" t="str">
        <f t="shared" si="2"/>
        <v/>
      </c>
    </row>
    <row r="98" spans="1:9" x14ac:dyDescent="0.25">
      <c r="A98" s="6"/>
      <c r="B98" s="6"/>
      <c r="C98" s="6"/>
      <c r="D98" s="6"/>
      <c r="E98" s="6"/>
      <c r="F98" s="6"/>
      <c r="G98" s="7"/>
      <c r="H98" s="8"/>
      <c r="I98" s="2" t="str">
        <f t="shared" si="2"/>
        <v/>
      </c>
    </row>
    <row r="99" spans="1:9" x14ac:dyDescent="0.25">
      <c r="A99" s="6"/>
      <c r="B99" s="6"/>
      <c r="C99" s="6"/>
      <c r="D99" s="6"/>
      <c r="E99" s="6"/>
      <c r="F99" s="6"/>
      <c r="G99" s="7"/>
      <c r="H99" s="8"/>
      <c r="I99" s="2" t="str">
        <f t="shared" si="2"/>
        <v/>
      </c>
    </row>
    <row r="100" spans="1:9" x14ac:dyDescent="0.25">
      <c r="A100" s="6"/>
      <c r="B100" s="6"/>
      <c r="C100" s="6"/>
      <c r="D100" s="6"/>
      <c r="E100" s="6"/>
      <c r="F100" s="6"/>
      <c r="G100" s="7"/>
      <c r="H100" s="8"/>
      <c r="I100" s="2" t="str">
        <f t="shared" si="2"/>
        <v/>
      </c>
    </row>
    <row r="101" spans="1:9" x14ac:dyDescent="0.25">
      <c r="A101" s="6"/>
      <c r="B101" s="6"/>
      <c r="C101" s="6"/>
      <c r="D101" s="6"/>
      <c r="E101" s="6"/>
      <c r="F101" s="6"/>
      <c r="G101" s="7"/>
      <c r="H101" s="8"/>
      <c r="I101" s="2" t="str">
        <f t="shared" si="2"/>
        <v/>
      </c>
    </row>
    <row r="102" spans="1:9" x14ac:dyDescent="0.25">
      <c r="A102" s="6"/>
      <c r="B102" s="6"/>
      <c r="C102" s="6"/>
      <c r="D102" s="6"/>
      <c r="E102" s="6"/>
      <c r="F102" s="6"/>
      <c r="G102" s="7"/>
      <c r="H102" s="8"/>
      <c r="I102" s="2" t="str">
        <f t="shared" si="2"/>
        <v/>
      </c>
    </row>
    <row r="103" spans="1:9" x14ac:dyDescent="0.25">
      <c r="A103" s="6"/>
      <c r="B103" s="6"/>
      <c r="C103" s="6"/>
      <c r="D103" s="6"/>
      <c r="E103" s="6"/>
      <c r="F103" s="6"/>
      <c r="G103" s="7"/>
      <c r="H103" s="8"/>
      <c r="I103" s="2" t="str">
        <f t="shared" si="2"/>
        <v/>
      </c>
    </row>
    <row r="104" spans="1:9" x14ac:dyDescent="0.25">
      <c r="A104" s="6"/>
      <c r="B104" s="6"/>
      <c r="C104" s="6"/>
      <c r="D104" s="6"/>
      <c r="E104" s="6"/>
      <c r="F104" s="6"/>
      <c r="G104" s="7"/>
      <c r="H104" s="8"/>
      <c r="I104" s="2" t="str">
        <f t="shared" si="2"/>
        <v/>
      </c>
    </row>
    <row r="105" spans="1:9" x14ac:dyDescent="0.25">
      <c r="A105" s="6"/>
      <c r="B105" s="6"/>
      <c r="C105" s="6"/>
      <c r="D105" s="6"/>
      <c r="E105" s="6"/>
      <c r="F105" s="6"/>
      <c r="G105" s="7"/>
      <c r="H105" s="8"/>
      <c r="I105" s="2" t="str">
        <f t="shared" ref="I105:I109" si="3">IF(H105="","",F105-H105)</f>
        <v/>
      </c>
    </row>
    <row r="106" spans="1:9" x14ac:dyDescent="0.25">
      <c r="A106" s="6"/>
      <c r="B106" s="6"/>
      <c r="C106" s="6"/>
      <c r="D106" s="6"/>
      <c r="E106" s="6"/>
      <c r="F106" s="6"/>
      <c r="G106" s="7"/>
      <c r="H106" s="8"/>
      <c r="I106" s="2" t="str">
        <f t="shared" si="3"/>
        <v/>
      </c>
    </row>
    <row r="107" spans="1:9" x14ac:dyDescent="0.25">
      <c r="A107" s="6"/>
      <c r="B107" s="6"/>
      <c r="C107" s="6"/>
      <c r="D107" s="6"/>
      <c r="E107" s="6"/>
      <c r="F107" s="6"/>
      <c r="G107" s="7"/>
      <c r="H107" s="8"/>
      <c r="I107" s="2" t="str">
        <f t="shared" si="3"/>
        <v/>
      </c>
    </row>
    <row r="108" spans="1:9" x14ac:dyDescent="0.25">
      <c r="A108" s="6"/>
      <c r="B108" s="6"/>
      <c r="C108" s="6"/>
      <c r="D108" s="6"/>
      <c r="E108" s="6"/>
      <c r="F108" s="6"/>
      <c r="G108" s="7"/>
      <c r="H108" s="8"/>
      <c r="I108" s="2" t="str">
        <f t="shared" si="3"/>
        <v/>
      </c>
    </row>
    <row r="109" spans="1:9" x14ac:dyDescent="0.25">
      <c r="A109" s="6"/>
      <c r="B109" s="6"/>
      <c r="C109" s="6"/>
      <c r="D109" s="6"/>
      <c r="E109" s="6"/>
      <c r="F109" s="6"/>
      <c r="G109" s="7"/>
      <c r="H109" s="8"/>
      <c r="I109" s="2" t="str">
        <f t="shared" si="3"/>
        <v/>
      </c>
    </row>
  </sheetData>
  <sortState xmlns:xlrd2="http://schemas.microsoft.com/office/spreadsheetml/2017/richdata2" ref="A2:J69">
    <sortCondition ref="J2:J69"/>
  </sortState>
  <conditionalFormatting sqref="G2:G109">
    <cfRule type="cellIs" dxfId="5" priority="2" operator="equal">
      <formula>"approved"</formula>
    </cfRule>
  </conditionalFormatting>
  <conditionalFormatting sqref="G12:G16">
    <cfRule type="colorScale" priority="9">
      <colorScale>
        <cfvo type="min"/>
        <cfvo type="percentile" val="50"/>
        <cfvo type="max"/>
        <color rgb="FFF8696B"/>
        <color rgb="FFFFEB84"/>
        <color rgb="FF63BE7B"/>
      </colorScale>
    </cfRule>
  </conditionalFormatting>
  <conditionalFormatting sqref="J1:J1048576">
    <cfRule type="cellIs" dxfId="4" priority="1" operator="equal">
      <formula>"in testing"</formula>
    </cfRule>
  </conditionalFormatting>
  <conditionalFormatting sqref="J2:J109">
    <cfRule type="containsText" dxfId="3" priority="3" operator="containsText" text="obsolete">
      <formula>NOT(ISERROR(SEARCH("obsolete",J2)))</formula>
    </cfRule>
    <cfRule type="cellIs" dxfId="2" priority="4" operator="equal">
      <formula>"approved"</formula>
    </cfRule>
    <cfRule type="cellIs" dxfId="1" priority="5" operator="equal">
      <formula>"in review"</formula>
    </cfRule>
    <cfRule type="cellIs" dxfId="0" priority="6" operator="equal">
      <formula>"in progress"</formula>
    </cfRule>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2551427B-685A-4056-A6AD-1F3B9218BDD0}">
          <x14:formula1>
            <xm:f>Definition!$A$2:$A$5</xm:f>
          </x14:formula1>
          <xm:sqref>A2:A59 A69:A109</xm:sqref>
        </x14:dataValidation>
        <x14:dataValidation type="list" allowBlank="1" showInputMessage="1" showErrorMessage="1" xr:uid="{A481AB17-5A56-4B39-B2F8-B26F9A991E33}">
          <x14:formula1>
            <xm:f>Definition!$B$2:$B$12</xm:f>
          </x14:formula1>
          <xm:sqref>B2:B59 B69:B109</xm:sqref>
        </x14:dataValidation>
        <x14:dataValidation type="list" allowBlank="1" showInputMessage="1" showErrorMessage="1" xr:uid="{ED4C0C14-B5BD-40E1-8167-7542F71AF9D0}">
          <x14:formula1>
            <xm:f>Definition!$D$2:$D$7</xm:f>
          </x14:formula1>
          <xm:sqref>J2:J109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38D6-6912-4702-A469-0B4ED26B52D0}">
  <sheetPr>
    <tabColor theme="0" tint="-0.14999847407452621"/>
  </sheetPr>
  <dimension ref="A1:D11"/>
  <sheetViews>
    <sheetView zoomScale="145" zoomScaleNormal="145" workbookViewId="0">
      <selection activeCell="D7" sqref="D2:D7"/>
    </sheetView>
  </sheetViews>
  <sheetFormatPr defaultRowHeight="15" x14ac:dyDescent="0.25"/>
  <cols>
    <col min="1" max="1" width="15.42578125" customWidth="1"/>
    <col min="2" max="2" width="27.28515625" bestFit="1" customWidth="1"/>
    <col min="3" max="3" width="15.42578125" customWidth="1"/>
  </cols>
  <sheetData>
    <row r="1" spans="1:4" x14ac:dyDescent="0.25">
      <c r="A1" s="3" t="s">
        <v>39</v>
      </c>
      <c r="B1" s="3" t="s">
        <v>0</v>
      </c>
      <c r="C1" s="2" t="s">
        <v>3</v>
      </c>
      <c r="D1" s="2" t="s">
        <v>60</v>
      </c>
    </row>
    <row r="2" spans="1:4" x14ac:dyDescent="0.25">
      <c r="A2" t="s">
        <v>42</v>
      </c>
      <c r="B2" t="s">
        <v>46</v>
      </c>
      <c r="C2" t="s">
        <v>51</v>
      </c>
      <c r="D2" t="s">
        <v>105</v>
      </c>
    </row>
    <row r="3" spans="1:4" x14ac:dyDescent="0.25">
      <c r="A3" t="s">
        <v>41</v>
      </c>
      <c r="B3" t="s">
        <v>48</v>
      </c>
      <c r="C3" t="s">
        <v>52</v>
      </c>
      <c r="D3" t="s">
        <v>106</v>
      </c>
    </row>
    <row r="4" spans="1:4" x14ac:dyDescent="0.25">
      <c r="A4" t="s">
        <v>40</v>
      </c>
      <c r="B4" t="s">
        <v>49</v>
      </c>
      <c r="C4" t="s">
        <v>53</v>
      </c>
      <c r="D4" t="s">
        <v>107</v>
      </c>
    </row>
    <row r="5" spans="1:4" x14ac:dyDescent="0.25">
      <c r="B5" t="s">
        <v>4</v>
      </c>
      <c r="C5" t="s">
        <v>54</v>
      </c>
      <c r="D5" t="s">
        <v>108</v>
      </c>
    </row>
    <row r="6" spans="1:4" x14ac:dyDescent="0.25">
      <c r="B6" t="s">
        <v>19</v>
      </c>
      <c r="D6" t="s">
        <v>59</v>
      </c>
    </row>
    <row r="7" spans="1:4" x14ac:dyDescent="0.25">
      <c r="B7" t="s">
        <v>45</v>
      </c>
      <c r="D7" t="s">
        <v>123</v>
      </c>
    </row>
    <row r="8" spans="1:4" x14ac:dyDescent="0.25">
      <c r="B8" t="s">
        <v>43</v>
      </c>
    </row>
    <row r="9" spans="1:4" x14ac:dyDescent="0.25">
      <c r="B9" t="s">
        <v>37</v>
      </c>
    </row>
    <row r="10" spans="1:4" x14ac:dyDescent="0.25">
      <c r="B10" t="s">
        <v>47</v>
      </c>
    </row>
    <row r="11" spans="1:4" x14ac:dyDescent="0.25">
      <c r="B11" t="s">
        <v>44</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F0C7DA263C8F4386142D799DBC8129" ma:contentTypeVersion="24" ma:contentTypeDescription="Create a new document." ma:contentTypeScope="" ma:versionID="784d7a02c67458f749fa26753687ebed">
  <xsd:schema xmlns:xsd="http://www.w3.org/2001/XMLSchema" xmlns:xs="http://www.w3.org/2001/XMLSchema" xmlns:p="http://schemas.microsoft.com/office/2006/metadata/properties" xmlns:ns2="bfa70dca-5c52-4a34-92cc-f1f857dfe3f4" xmlns:ns3="765fc2e2-3267-417e-9a46-2302bf4c9859" targetNamespace="http://schemas.microsoft.com/office/2006/metadata/properties" ma:root="true" ma:fieldsID="5d6066c376c0e97a0343aeee3455f4d0" ns2:_="" ns3:_="">
    <xsd:import namespace="bfa70dca-5c52-4a34-92cc-f1f857dfe3f4"/>
    <xsd:import namespace="765fc2e2-3267-417e-9a46-2302bf4c9859"/>
    <xsd:element name="properties">
      <xsd:complexType>
        <xsd:sequence>
          <xsd:element name="documentManagement">
            <xsd:complexType>
              <xsd:all>
                <xsd:element ref="ns2:Location2" minOccurs="0"/>
                <xsd:element ref="ns2:a8642d20-dbc4-4f89-956c-f26ff22b743dCountryOrRegion" minOccurs="0"/>
                <xsd:element ref="ns2:a8642d20-dbc4-4f89-956c-f26ff22b743dState" minOccurs="0"/>
                <xsd:element ref="ns2:a8642d20-dbc4-4f89-956c-f26ff22b743dCity" minOccurs="0"/>
                <xsd:element ref="ns2:a8642d20-dbc4-4f89-956c-f26ff22b743dPostalCode" minOccurs="0"/>
                <xsd:element ref="ns2:a8642d20-dbc4-4f89-956c-f26ff22b743dStreet" minOccurs="0"/>
                <xsd:element ref="ns2:a8642d20-dbc4-4f89-956c-f26ff22b743dGeoLoc" minOccurs="0"/>
                <xsd:element ref="ns2:a8642d20-dbc4-4f89-956c-f26ff22b743dDispName"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a70dca-5c52-4a34-92cc-f1f857dfe3f4" elementFormDefault="qualified">
    <xsd:import namespace="http://schemas.microsoft.com/office/2006/documentManagement/types"/>
    <xsd:import namespace="http://schemas.microsoft.com/office/infopath/2007/PartnerControls"/>
    <xsd:element name="Location2" ma:index="5" nillable="true" ma:displayName="Location2" ma:internalName="Location2" ma:readOnly="false">
      <xsd:simpleType>
        <xsd:restriction base="dms:Unknown"/>
      </xsd:simpleType>
    </xsd:element>
    <xsd:element name="a8642d20-dbc4-4f89-956c-f26ff22b743dCountryOrRegion" ma:index="9" nillable="true" ma:displayName="Location2: Country/Region" ma:internalName="CountryOrRegion" ma:readOnly="true">
      <xsd:simpleType>
        <xsd:restriction base="dms:Text"/>
      </xsd:simpleType>
    </xsd:element>
    <xsd:element name="a8642d20-dbc4-4f89-956c-f26ff22b743dState" ma:index="10" nillable="true" ma:displayName="Location2: State" ma:internalName="State" ma:readOnly="true">
      <xsd:simpleType>
        <xsd:restriction base="dms:Text"/>
      </xsd:simpleType>
    </xsd:element>
    <xsd:element name="a8642d20-dbc4-4f89-956c-f26ff22b743dCity" ma:index="11" nillable="true" ma:displayName="Location2: City" ma:internalName="City" ma:readOnly="true">
      <xsd:simpleType>
        <xsd:restriction base="dms:Text"/>
      </xsd:simpleType>
    </xsd:element>
    <xsd:element name="a8642d20-dbc4-4f89-956c-f26ff22b743dPostalCode" ma:index="12" nillable="true" ma:displayName="Location2: Postal Code" ma:internalName="PostalCode" ma:readOnly="true">
      <xsd:simpleType>
        <xsd:restriction base="dms:Text"/>
      </xsd:simpleType>
    </xsd:element>
    <xsd:element name="a8642d20-dbc4-4f89-956c-f26ff22b743dStreet" ma:index="13" nillable="true" ma:displayName="Location2: Street" ma:internalName="Street" ma:readOnly="true">
      <xsd:simpleType>
        <xsd:restriction base="dms:Text"/>
      </xsd:simpleType>
    </xsd:element>
    <xsd:element name="a8642d20-dbc4-4f89-956c-f26ff22b743dGeoLoc" ma:index="14" nillable="true" ma:displayName="Location2: Coordinates" ma:internalName="GeoLoc" ma:readOnly="true">
      <xsd:simpleType>
        <xsd:restriction base="dms:Unknown"/>
      </xsd:simpleType>
    </xsd:element>
    <xsd:element name="a8642d20-dbc4-4f89-956c-f26ff22b743dDispName" ma:index="15" nillable="true" ma:displayName="Location2: Name" ma:internalName="DispName" ma:readOnly="true">
      <xsd:simpleType>
        <xsd:restriction base="dms:Text"/>
      </xsd:simpleType>
    </xsd:element>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ea06dc81-7351-40b9-acc0-3b5a169b4e4e"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5fc2e2-3267-417e-9a46-2302bf4c9859"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74b4c951-936d-414f-9893-f3ed6bec2ee8}" ma:internalName="TaxCatchAll" ma:showField="CatchAllData" ma:web="765fc2e2-3267-417e-9a46-2302bf4c98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ocation2 xmlns="bfa70dca-5c52-4a34-92cc-f1f857dfe3f4" xsi:nil="true"/>
    <lcf76f155ced4ddcb4097134ff3c332f xmlns="bfa70dca-5c52-4a34-92cc-f1f857dfe3f4">
      <Terms xmlns="http://schemas.microsoft.com/office/infopath/2007/PartnerControls"/>
    </lcf76f155ced4ddcb4097134ff3c332f>
    <TaxCatchAll xmlns="765fc2e2-3267-417e-9a46-2302bf4c9859" xsi:nil="true"/>
    <a8642d20-dbc4-4f89-956c-f26ff22b743dPostalCode xmlns="bfa70dca-5c52-4a34-92cc-f1f857dfe3f4" xsi:nil="true"/>
    <a8642d20-dbc4-4f89-956c-f26ff22b743dDispName xmlns="bfa70dca-5c52-4a34-92cc-f1f857dfe3f4" xsi:nil="true"/>
    <a8642d20-dbc4-4f89-956c-f26ff22b743dCountryOrRegion xmlns="bfa70dca-5c52-4a34-92cc-f1f857dfe3f4" xsi:nil="true"/>
    <a8642d20-dbc4-4f89-956c-f26ff22b743dState xmlns="bfa70dca-5c52-4a34-92cc-f1f857dfe3f4" xsi:nil="true"/>
    <a8642d20-dbc4-4f89-956c-f26ff22b743dGeoLoc xmlns="bfa70dca-5c52-4a34-92cc-f1f857dfe3f4" xsi:nil="true"/>
    <a8642d20-dbc4-4f89-956c-f26ff22b743dCity xmlns="bfa70dca-5c52-4a34-92cc-f1f857dfe3f4" xsi:nil="true"/>
    <a8642d20-dbc4-4f89-956c-f26ff22b743dStreet xmlns="bfa70dca-5c52-4a34-92cc-f1f857dfe3f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0751B5-6E76-4CC0-B562-C7FE2BBAB2CC}"/>
</file>

<file path=customXml/itemProps2.xml><?xml version="1.0" encoding="utf-8"?>
<ds:datastoreItem xmlns:ds="http://schemas.openxmlformats.org/officeDocument/2006/customXml" ds:itemID="{6CFD8F87-7D57-4E32-A372-0ADDF11BF64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0CF623E-2CDF-419E-96EE-2F451BF408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Sources</vt:lpstr>
      <vt:lpstr>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Skjødt</dc:creator>
  <cp:keywords/>
  <dc:description/>
  <cp:lastModifiedBy>Christian Skjødt</cp:lastModifiedBy>
  <cp:revision/>
  <dcterms:created xsi:type="dcterms:W3CDTF">2021-10-11T06:13:16Z</dcterms:created>
  <dcterms:modified xsi:type="dcterms:W3CDTF">2024-11-05T13:48:34Z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0x01010068F0C7DA263C8F4386142D799DBC8129</vt:lpwstr>
  </property>
  <property fmtid="{D5CDD505-2E9C-101B-9397-08002B2CF9AE}" pid="3" name="Order">
    <vt:r8>12066800</vt:r8>
  </property>
  <property fmtid="{D5CDD505-2E9C-101B-9397-08002B2CF9AE}" pid="4" name="_ExtendedDescription">
    <vt:lpwstr/>
  </property>
  <property fmtid="{D5CDD505-2E9C-101B-9397-08002B2CF9AE}" pid="5" name="MediaServiceImageTags">
    <vt:lpwstr/>
  </property>
</Properties>
</file>